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AquaLimpia\AquaLimpia-DataScience\"/>
    </mc:Choice>
  </mc:AlternateContent>
  <xr:revisionPtr revIDLastSave="0" documentId="13_ncr:1_{6CD41AA0-2343-49A9-AD98-92227F51828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2" r:id="rId1"/>
    <sheet name="Sheet1" sheetId="1" r:id="rId2"/>
  </sheets>
  <definedNames>
    <definedName name="SegmentaciónDeDatos_fecha_registro">#N/A</definedName>
    <definedName name="SegmentaciónDeDatos_planta">#N/A</definedName>
  </definedNames>
  <calcPr calcId="12451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<sst xmlns="http://schemas.openxmlformats.org/spreadsheetml/2006/main" count="425" uniqueCount="117">
  <si>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</si>
  <si>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</si>
  <si>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</si>
  <si>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</si>
  <si>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</si>
  <si>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</si>
  <si>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</si>
  <si>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</si>
  <si>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</si>
  <si>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</si>
  <si>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</si>
  <si>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</si>
  <si>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</si>
  <si>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</si>
  <si>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</si>
  <si>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</si>
  <si>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</si>
  <si>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</si>
  <si>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</si>
  <si>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</si>
  <si>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</si>
  <si>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</si>
  <si>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</si>
  <si>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</si>
  <si>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</si>
  <si>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</si>
  <si>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</si>
  <si>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</si>
  <si>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</si>
  <si>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</si>
  <si>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</si>
  <si>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</si>
  <si>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</si>
  <si>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</si>
  <si>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</si>
  <si>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</si>
  <si>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</si>
  <si>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</si>
  <si>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</si>
  <si>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</si>
  <si>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</si>
  <si>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</si>
  <si>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</si>
  <si>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</si>
  <si>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</si>
  <si>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</si>
  <si>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</si>
  <si>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</si>
  <si>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</si>
  <si>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</si>
  <si>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</si>
  <si>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</si>
  <si>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</si>
  <si>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</si>
  <si>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</si>
  <si>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</si>
  <si>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</si>
  <si>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</si>
  <si>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</si>
  <si>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</si>
  <si>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</si>
  <si>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</si>
  <si>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</si>
  <si>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</si>
  <si>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</si>
  <si>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</si>
  <si>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</si>
  <si>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</si>
  <si>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</si>
  <si>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</si>
  <si>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</si>
  <si>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</si>
  <si>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</si>
  <si>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</si>
  <si>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</si>
  <si>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</si>
  <si>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</si>
  <si>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</si>
  <si>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</si>
  <si>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</si>
  <si>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</si>
  <si>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</si>
  <si>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</si>
  <si>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</si>
  <si>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</si>
  <si>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</si>
  <si>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</si>
  <si>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</si>
  <si>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</si>
  <si>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</si>
  <si>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</si>
  <si>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</si>
  <si>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</si>
  <si>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</si>
  <si>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</si>
  <si>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</si>
  <si>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</si>
  <si>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</si>
  <si>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</si>
  <si>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</si>
  <si>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</si>
  <si>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</si>
  <si>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</si>
  <si>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</si>
  <si>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</si>
  <si>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</si>
  <si>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</si>
  <si>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</si>
  <si>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</si>
  <si>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</si>
  <si>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</si>
  <si>
    <t>Etiquetas de fila</t>
  </si>
  <si>
    <t>Total general</t>
  </si>
  <si>
    <t>Promedio de caudal_entrada_m3_d</t>
  </si>
  <si>
    <t>Promedio de energia_aeracion_kWh</t>
  </si>
  <si>
    <t>Suma de cumplimiento_norma</t>
  </si>
  <si>
    <t>Promedio de DBO_salida_mg_L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</si>
</sst>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[dataset_set_AguasResiduales.xlsx]Hoja1!TablaDinámica1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Promedio de caudal_entrada_m3_d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Hoja1!$A$2:$A$8</c:f>
              <c:strCache>
                <c:ptCount val="6"/>
                <c:pt idx="0">
                  <c:v>2025-07-05</c:v>
                </c:pt>
                <c:pt idx="1">
                  <c:v>2025-07-07</c:v>
                </c:pt>
                <c:pt idx="2">
                  <c:v>2025-07-08</c:v>
                </c:pt>
                <c:pt idx="3">
                  <c:v>2025-07-09</c:v>
                </c:pt>
                <c:pt idx="4">
                  <c:v>2025-07-13</c:v>
                </c:pt>
                <c:pt idx="5">
                  <c:v>2025-07-15</c:v>
                </c:pt>
              </c:strCache>
            </c:strRef>
          </c:cat>
          <c:val>
            <c:numRef>
              <c:f>Hoja1!$B$2:$B$8</c:f>
              <c:numCache>
                <c:formatCode>General</c:formatCode>
                <c:ptCount val="6"/>
                <c:pt idx="0">
                  <c:v>4340</c:v>
                </c:pt>
                <c:pt idx="1">
                  <c:v>3961</c:v>
                </c:pt>
                <c:pt idx="2">
                  <c:v>4219</c:v>
                </c:pt>
                <c:pt idx="3">
                  <c:v>3824.5</c:v>
                </c:pt>
                <c:pt idx="4">
                  <c:v>5747</c:v>
                </c:pt>
                <c:pt idx="5">
                  <c:v>3627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8-4908-A1B2-C079FBA6E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5929072"/>
        <c:axId val="1315909872"/>
      </c:barChart>
      <c:lineChart>
        <c:grouping val="standard"/>
        <c:varyColors val="0"/>
        <c:ser>
          <c:idx val="1"/>
          <c:order val="1"/>
          <c:tx>
            <c:strRef>
              <c:f>Hoja1!$C$1</c:f>
              <c:strCache>
                <c:ptCount val="1"/>
                <c:pt idx="0">
                  <c:v>Promedio de energia_aeracion_kWh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Hoja1!$A$2:$A$8</c:f>
              <c:strCache>
                <c:ptCount val="6"/>
                <c:pt idx="0">
                  <c:v>2025-07-05</c:v>
                </c:pt>
                <c:pt idx="1">
                  <c:v>2025-07-07</c:v>
                </c:pt>
                <c:pt idx="2">
                  <c:v>2025-07-08</c:v>
                </c:pt>
                <c:pt idx="3">
                  <c:v>2025-07-09</c:v>
                </c:pt>
                <c:pt idx="4">
                  <c:v>2025-07-13</c:v>
                </c:pt>
                <c:pt idx="5">
                  <c:v>2025-07-15</c:v>
                </c:pt>
              </c:strCache>
            </c:strRef>
          </c:cat>
          <c:val>
            <c:numRef>
              <c:f>Hoja1!$C$2:$C$8</c:f>
              <c:numCache>
                <c:formatCode>General</c:formatCode>
                <c:ptCount val="6"/>
                <c:pt idx="0">
                  <c:v>793.6</c:v>
                </c:pt>
                <c:pt idx="1">
                  <c:v>1264</c:v>
                </c:pt>
                <c:pt idx="2">
                  <c:v>1166.9000000000001</c:v>
                </c:pt>
                <c:pt idx="3">
                  <c:v>950.75</c:v>
                </c:pt>
                <c:pt idx="4">
                  <c:v>1757.2</c:v>
                </c:pt>
                <c:pt idx="5">
                  <c:v>692.9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68-4908-A1B2-C079FBA6E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954992"/>
        <c:axId val="1315949232"/>
      </c:lineChart>
      <c:catAx>
        <c:axId val="131592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5909872"/>
        <c:crosses val="autoZero"/>
        <c:auto val="1"/>
        <c:lblAlgn val="ctr"/>
        <c:lblOffset val="100"/>
        <c:noMultiLvlLbl val="0"/>
      </c:catAx>
      <c:valAx>
        <c:axId val="13159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5929072"/>
        <c:crosses val="autoZero"/>
        <c:crossBetween val="between"/>
      </c:valAx>
      <c:valAx>
        <c:axId val="131594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5954992"/>
        <c:crosses val="max"/>
        <c:crossBetween val="between"/>
      </c:valAx>
      <c:catAx>
        <c:axId val="131595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59492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[dataset_set_AguasResiduales.xlsx]Hoja1!TablaDinámica3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Hoja1!$N$2</c:f>
              <c:strCache>
                <c:ptCount val="1"/>
                <c:pt idx="0">
                  <c:v>Promedio de DBO_salida_mg_L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Hoja1!$M$3:$M$4</c:f>
              <c:strCache>
                <c:ptCount val="1"/>
                <c:pt idx="0">
                  <c:v>Planta Sur</c:v>
                </c:pt>
              </c:strCache>
            </c:strRef>
          </c:cat>
          <c:val>
            <c:numRef>
              <c:f>Hoja1!$N$3:$N$4</c:f>
              <c:numCache>
                <c:formatCode>General</c:formatCode>
                <c:ptCount val="1"/>
                <c:pt idx="0">
                  <c:v>33.824999999999996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F-40EB-9B8A-B975DCDAE518}"/>
            </c:ext>
          </c:extLst>
        </c:ser>
        <c:ser>
          <c:idx val="1"/>
          <c:order val="1"/>
          <c:tx>
            <c:strRef>
              <c:f>Hoja1!$O$2</c:f>
              <c:strCache>
                <c:ptCount val="1"/>
                <c:pt idx="0">
                  <c:v>Suma de cumplimiento_norma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Hoja1!$M$3:$M$4</c:f>
              <c:strCache>
                <c:ptCount val="1"/>
                <c:pt idx="0">
                  <c:v>Planta Sur</c:v>
                </c:pt>
              </c:strCache>
            </c:strRef>
          </c:cat>
          <c:val>
            <c:numRef>
              <c:f>Hoja1!$O$3:$O$4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1F-40EB-9B8A-B975DCDAE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742400"/>
        <c:axId val="1465743360"/>
      </c:barChart>
      <c:catAx>
        <c:axId val="14657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65743360"/>
        <c:crosses val="autoZero"/>
        <c:auto val="1"/>
        <c:lblAlgn val="ctr"/>
        <c:lblOffset val="100"/>
        <c:noMultiLvlLbl val="0"/>
      </c:catAx>
      <c:valAx>
        <c:axId val="14657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657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04E0B4-BCD3-5DCB-FC0E-AA3DDA37D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37128</xdr:colOff>
      <xdr:row>15</xdr:row>
      <xdr:rowOff>158752</xdr:rowOff>
    </xdr:from>
    <xdr:to>
      <xdr:col>10</xdr:col>
      <xdr:colOff>49620</xdr:colOff>
      <xdr:row>30</xdr:row>
      <xdr:rowOff>15304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41E190-47EA-46E6-17DE-219256A15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356658</xdr:colOff>
      <xdr:row>5</xdr:row>
      <xdr:rowOff>153459</xdr:rowOff>
    </xdr:from>
    <xdr:to>
      <xdr:col>13</xdr:col>
      <xdr:colOff>1010708</xdr:colOff>
      <xdr:row>19</xdr:row>
      <xdr:rowOff>10584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fecha_registro">
              <a:extLst>
                <a:ext uri="{FF2B5EF4-FFF2-40B4-BE49-F238E27FC236}">
                  <a16:creationId xmlns:a16="http://schemas.microsoft.com/office/drawing/2014/main" id="{EC689264-1B74-3744-370C-9AF198F2EB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_regist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4408" y="1105959"/>
              <a:ext cx="1824264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28575</xdr:colOff>
      <xdr:row>5</xdr:row>
      <xdr:rowOff>174625</xdr:rowOff>
    </xdr:from>
    <xdr:to>
      <xdr:col>12</xdr:col>
      <xdr:colOff>333375</xdr:colOff>
      <xdr:row>19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lanta">
              <a:extLst>
                <a:ext uri="{FF2B5EF4-FFF2-40B4-BE49-F238E27FC236}">
                  <a16:creationId xmlns:a16="http://schemas.microsoft.com/office/drawing/2014/main" id="{F1C43BCD-CBD1-0DF2-923F-47481B7DF9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2325" y="11271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68.249517939817" createdVersion="8" refreshedVersion="8" minRefreshableVersion="3" recordCount="200" xr:uid="{0E7381FB-70BB-4C1F-B8B9-61F5BC239011}">
  <cacheSource type="worksheet">
    <worksheetSource ref="A1:J201" sheet="Sheet1"/>
  </cacheSource>
  <cacheFields count="10">
    <cacheField name="fecha_registro" numFmtId="0">
      <sharedItems count="98">
        <s v="2025-08-17"/>
        <s v="2025-09-07"/>
        <s v="2025-07-26"/>
        <s v="2025-10-27"/>
        <s v="2025-09-06"/>
        <s v="2025-09-22"/>
        <s v="2025-07-24"/>
        <s v="2025-10-12"/>
        <s v="2025-10-01"/>
        <s v="2025-08-27"/>
        <s v="2025-07-15"/>
        <s v="2025-09-11"/>
        <s v="2025-09-28"/>
        <s v="2025-10-19"/>
        <s v="2025-08-12"/>
        <s v="2025-09-29"/>
        <s v="2025-07-09"/>
        <s v="2025-08-09"/>
        <s v="2025-10-11"/>
        <s v="2025-08-18"/>
        <s v="2025-07-08"/>
        <s v="2025-08-14"/>
        <s v="2025-07-01"/>
        <s v="2025-09-14"/>
        <s v="2025-08-25"/>
        <s v="2025-07-07"/>
        <s v="2025-07-20"/>
        <s v="2025-08-30"/>
        <s v="2025-09-02"/>
        <s v="2025-09-08"/>
        <s v="2025-08-26"/>
        <s v="2025-07-25"/>
        <s v="2025-08-23"/>
        <s v="2025-10-21"/>
        <s v="2025-08-31"/>
        <s v="2025-09-03"/>
        <s v="2025-08-04"/>
        <s v="2025-09-12"/>
        <s v="2025-09-17"/>
        <s v="2025-08-08"/>
        <s v="2025-07-05"/>
        <s v="2025-07-10"/>
        <s v="2025-09-26"/>
        <s v="2025-10-08"/>
        <s v="2025-07-02"/>
        <s v="2025-07-17"/>
        <s v="2025-08-01"/>
        <s v="2025-10-02"/>
        <s v="2025-09-10"/>
        <s v="2025-07-11"/>
        <s v="2025-10-14"/>
        <s v="2025-08-05"/>
        <s v="2025-10-28"/>
        <s v="2025-10-05"/>
        <s v="2025-07-22"/>
        <s v="2025-10-09"/>
        <s v="2025-10-06"/>
        <s v="2025-09-30"/>
        <s v="2025-07-28"/>
        <s v="2025-08-03"/>
        <s v="2025-07-31"/>
        <s v="2025-10-10"/>
        <s v="2025-09-20"/>
        <s v="2025-07-03"/>
        <s v="2025-08-20"/>
        <s v="2025-07-19"/>
        <s v="2025-08-28"/>
        <s v="2025-07-13"/>
        <s v="2025-10-16"/>
        <s v="2025-09-15"/>
        <s v="2025-07-21"/>
        <s v="2025-07-16"/>
        <s v="2025-08-29"/>
        <s v="2025-08-13"/>
        <s v="2025-08-24"/>
        <s v="2025-10-20"/>
        <s v="2025-09-16"/>
        <s v="2025-07-04"/>
        <s v="2025-07-30"/>
        <s v="2025-09-18"/>
        <s v="2025-10-26"/>
        <s v="2025-09-09"/>
        <s v="2025-10-15"/>
        <s v="2025-08-22"/>
        <s v="2025-08-11"/>
        <s v="2025-07-27"/>
        <s v="2025-09-01"/>
        <s v="2025-09-25"/>
        <s v="2025-10-07"/>
        <s v="2025-10-13"/>
        <s v="2025-10-25"/>
        <s v="2025-10-22"/>
        <s v="2025-07-18"/>
        <s v="2025-07-06"/>
        <s v="2025-08-19"/>
        <s v="2025-08-07"/>
        <s v="2025-09-24"/>
        <s v="2025-08-21"/>
      </sharedItems>
    </cacheField>
    <cacheField name="planta" numFmtId="0">
      <sharedItems count="3">
        <s v="Planta Sur"/>
        <s v="Planta Norte"/>
        <s v="Planta Centro"/>
      </sharedItems>
    </cacheField>
    <cacheField name="caudal_entrada_m3_d" numFmtId="0">
      <sharedItems containsSemiMixedTypes="0" containsString="0" containsNumber="1" containsInteger="1" minValue="1500" maxValue="9205" count="191">
        <n v="6562"/>
        <n v="5336"/>
        <n v="5755"/>
        <n v="6840"/>
        <n v="6803"/>
        <n v="4714"/>
        <n v="4464"/>
        <n v="5598"/>
        <n v="5014"/>
        <n v="2540"/>
        <n v="6986"/>
        <n v="5227"/>
        <n v="6231"/>
        <n v="3558"/>
        <n v="7003"/>
        <n v="4376"/>
        <n v="5049"/>
        <n v="3238"/>
        <n v="4966"/>
        <n v="4878"/>
        <n v="4940"/>
        <n v="5814"/>
        <n v="5284"/>
        <n v="6566"/>
        <n v="4545"/>
        <n v="3806"/>
        <n v="5173"/>
        <n v="6080"/>
        <n v="6942"/>
        <n v="6339"/>
        <n v="2728"/>
        <n v="5728"/>
        <n v="7245"/>
        <n v="5288"/>
        <n v="4478"/>
        <n v="5633"/>
        <n v="4495"/>
        <n v="6095"/>
        <n v="5182"/>
        <n v="7150"/>
        <n v="5899"/>
        <n v="4187"/>
        <n v="6046"/>
        <n v="6510"/>
        <n v="4404"/>
        <n v="4604"/>
        <n v="1973"/>
        <n v="6465"/>
        <n v="4377"/>
        <n v="2229"/>
        <n v="2724"/>
        <n v="4888"/>
        <n v="6265"/>
        <n v="5075"/>
        <n v="5860"/>
        <n v="3658"/>
        <n v="3322"/>
        <n v="6440"/>
        <n v="5889"/>
        <n v="5157"/>
        <n v="6995"/>
        <n v="3868"/>
        <n v="4612"/>
        <n v="6637"/>
        <n v="7773"/>
        <n v="5212"/>
        <n v="7551"/>
        <n v="4356"/>
        <n v="5662"/>
        <n v="4957"/>
        <n v="2976"/>
        <n v="5561"/>
        <n v="6506"/>
        <n v="4992"/>
        <n v="5101"/>
        <n v="3450"/>
        <n v="3103"/>
        <n v="4284"/>
        <n v="3525"/>
        <n v="7085"/>
        <n v="5634"/>
        <n v="3990"/>
        <n v="4340"/>
        <n v="9205"/>
        <n v="4346"/>
        <n v="4133"/>
        <n v="5626"/>
        <n v="6094"/>
        <n v="5510"/>
        <n v="3928"/>
        <n v="3577"/>
        <n v="6035"/>
        <n v="5124"/>
        <n v="2902"/>
        <n v="6839"/>
        <n v="6285"/>
        <n v="4863"/>
        <n v="4836"/>
        <n v="5524"/>
        <n v="4238"/>
        <n v="3312"/>
        <n v="5652"/>
        <n v="3185"/>
        <n v="5747"/>
        <n v="3182"/>
        <n v="5061"/>
        <n v="5010"/>
        <n v="7696"/>
        <n v="3710"/>
        <n v="3219"/>
        <n v="4295"/>
        <n v="3627"/>
        <n v="4374"/>
        <n v="5789"/>
        <n v="6281"/>
        <n v="7523"/>
        <n v="4169"/>
        <n v="8894"/>
        <n v="7975"/>
        <n v="4915"/>
        <n v="1992"/>
        <n v="5084"/>
        <n v="5302"/>
        <n v="1981"/>
        <n v="5303"/>
        <n v="4920"/>
        <n v="4100"/>
        <n v="6077"/>
        <n v="6607"/>
        <n v="4519"/>
        <n v="5521"/>
        <n v="4283"/>
        <n v="4099"/>
        <n v="5311"/>
        <n v="5933"/>
        <n v="4411"/>
        <n v="2101"/>
        <n v="6020"/>
        <n v="2965"/>
        <n v="5371"/>
        <n v="7691"/>
        <n v="5176"/>
        <n v="3534"/>
        <n v="3154"/>
        <n v="5956"/>
        <n v="6497"/>
        <n v="5131"/>
        <n v="4768"/>
        <n v="3874"/>
        <n v="1500"/>
        <n v="3075"/>
        <n v="5103"/>
        <n v="4955"/>
        <n v="5765"/>
        <n v="5023"/>
        <n v="5423"/>
        <n v="6303"/>
        <n v="3961"/>
        <n v="4798"/>
        <n v="2950"/>
        <n v="5254"/>
        <n v="5886"/>
        <n v="7359"/>
        <n v="6711"/>
        <n v="5116"/>
        <n v="3196"/>
        <n v="5807"/>
        <n v="5394"/>
        <n v="2934"/>
        <n v="7072"/>
        <n v="4214"/>
        <n v="6157"/>
        <n v="6591"/>
        <n v="7037"/>
        <n v="4038"/>
        <n v="3057"/>
        <n v="5016"/>
        <n v="6388"/>
        <n v="4680"/>
        <n v="4341"/>
        <n v="5884"/>
        <n v="4269"/>
        <n v="3263"/>
        <n v="5613"/>
        <n v="3639"/>
        <n v="4705"/>
        <n v="3144"/>
        <n v="4245"/>
        <n v="4672"/>
        <n v="4196"/>
        <n v="6477"/>
      </sharedItems>
    </cacheField>
    <cacheField name="DBO_entrada_mg_L" numFmtId="0">
      <sharedItems containsSemiMixedTypes="0" containsString="0" containsNumber="1" containsInteger="1" minValue="90" maxValue="481"/>
    </cacheField>
    <cacheField name="SST_entrada_mg_L" numFmtId="0">
      <sharedItems containsSemiMixedTypes="0" containsString="0" containsNumber="1" containsInteger="1" minValue="70" maxValue="391"/>
    </cacheField>
    <cacheField name="pH_entrada" numFmtId="0">
      <sharedItems containsSemiMixedTypes="0" containsString="0" containsNumber="1" minValue="6.18" maxValue="8.27"/>
    </cacheField>
    <cacheField name="energia_aeracion_kWh" numFmtId="0">
      <sharedItems containsSemiMixedTypes="0" containsString="0" containsNumber="1" minValue="279.7" maxValue="2434"/>
    </cacheField>
    <cacheField name="lodos_generados_kg_d" numFmtId="0">
      <sharedItems containsSemiMixedTypes="0" containsString="0" containsNumber="1" minValue="113.7" maxValue="971.7"/>
    </cacheField>
    <cacheField name="DBO_salida_mg_L" numFmtId="0">
      <sharedItems containsSemiMixedTypes="0" containsString="0" containsNumber="1" minValue="10.199999999999999" maxValue="79"/>
    </cacheField>
    <cacheField name="cumplimiento_norm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8122131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271"/>
    <n v="324"/>
    <n v="7.12"/>
    <n v="1261.0999999999999"/>
    <n v="440.3"/>
    <n v="40"/>
    <n v="0"/>
  </r>
  <r>
    <x v="1"/>
    <x v="0"/>
    <x v="1"/>
    <n v="322"/>
    <n v="230"/>
    <n v="7.01"/>
    <n v="1629.3"/>
    <n v="561.20000000000005"/>
    <n v="26.8"/>
    <n v="1"/>
  </r>
  <r>
    <x v="2"/>
    <x v="1"/>
    <x v="2"/>
    <n v="318"/>
    <n v="282"/>
    <n v="6.79"/>
    <n v="1469.2"/>
    <n v="441.6"/>
    <n v="45.2"/>
    <n v="0"/>
  </r>
  <r>
    <x v="3"/>
    <x v="2"/>
    <x v="3"/>
    <n v="216"/>
    <n v="167"/>
    <n v="7.01"/>
    <n v="1764.8"/>
    <n v="560"/>
    <n v="38"/>
    <n v="0"/>
  </r>
  <r>
    <x v="4"/>
    <x v="2"/>
    <x v="4"/>
    <n v="326"/>
    <n v="200"/>
    <n v="7.55"/>
    <n v="1409.3"/>
    <n v="654"/>
    <n v="32.1"/>
    <n v="0"/>
  </r>
  <r>
    <x v="5"/>
    <x v="1"/>
    <x v="5"/>
    <n v="308"/>
    <n v="143"/>
    <n v="6.6"/>
    <n v="1226.7"/>
    <n v="461"/>
    <n v="31.7"/>
    <n v="0"/>
  </r>
  <r>
    <x v="6"/>
    <x v="2"/>
    <x v="6"/>
    <n v="305"/>
    <n v="225"/>
    <n v="7.12"/>
    <n v="957.9"/>
    <n v="416.9"/>
    <n v="49.7"/>
    <n v="0"/>
  </r>
  <r>
    <x v="7"/>
    <x v="2"/>
    <x v="7"/>
    <n v="248"/>
    <n v="312"/>
    <n v="7.83"/>
    <n v="1612.1"/>
    <n v="575.5"/>
    <n v="30.5"/>
    <n v="0"/>
  </r>
  <r>
    <x v="8"/>
    <x v="0"/>
    <x v="8"/>
    <n v="246"/>
    <n v="256"/>
    <n v="7.35"/>
    <n v="902.5"/>
    <n v="429"/>
    <n v="37.700000000000003"/>
    <n v="0"/>
  </r>
  <r>
    <x v="9"/>
    <x v="0"/>
    <x v="9"/>
    <n v="343"/>
    <n v="302"/>
    <n v="6.89"/>
    <n v="520.9"/>
    <n v="172.6"/>
    <n v="31.5"/>
    <n v="0"/>
  </r>
  <r>
    <x v="10"/>
    <x v="1"/>
    <x v="10"/>
    <n v="455"/>
    <n v="168"/>
    <n v="7.4"/>
    <n v="1433.3"/>
    <n v="624.5"/>
    <n v="45.1"/>
    <n v="0"/>
  </r>
  <r>
    <x v="6"/>
    <x v="1"/>
    <x v="11"/>
    <n v="214"/>
    <n v="178"/>
    <n v="6.76"/>
    <n v="1240"/>
    <n v="427.1"/>
    <n v="21.3"/>
    <n v="0"/>
  </r>
  <r>
    <x v="11"/>
    <x v="2"/>
    <x v="12"/>
    <n v="323"/>
    <n v="207"/>
    <n v="7.1"/>
    <n v="1864.7"/>
    <n v="622"/>
    <n v="36.799999999999997"/>
    <n v="0"/>
  </r>
  <r>
    <x v="12"/>
    <x v="1"/>
    <x v="13"/>
    <n v="251"/>
    <n v="280"/>
    <n v="7.8"/>
    <n v="638.29999999999995"/>
    <n v="255"/>
    <n v="19.8"/>
    <n v="0"/>
  </r>
  <r>
    <x v="13"/>
    <x v="1"/>
    <x v="14"/>
    <n v="343"/>
    <n v="265"/>
    <n v="7.95"/>
    <n v="1863.3"/>
    <n v="647.79999999999995"/>
    <n v="51.6"/>
    <n v="0"/>
  </r>
  <r>
    <x v="14"/>
    <x v="2"/>
    <x v="15"/>
    <n v="315"/>
    <n v="239"/>
    <n v="6.33"/>
    <n v="813.1"/>
    <n v="264.7"/>
    <n v="26.4"/>
    <n v="1"/>
  </r>
  <r>
    <x v="15"/>
    <x v="1"/>
    <x v="16"/>
    <n v="365"/>
    <n v="284"/>
    <n v="7.42"/>
    <n v="1144.5"/>
    <n v="395.8"/>
    <n v="47.6"/>
    <n v="0"/>
  </r>
  <r>
    <x v="16"/>
    <x v="0"/>
    <x v="17"/>
    <n v="90"/>
    <n v="229"/>
    <n v="7.98"/>
    <n v="714.5"/>
    <n v="248.1"/>
    <n v="10.199999999999999"/>
    <n v="1"/>
  </r>
  <r>
    <x v="17"/>
    <x v="0"/>
    <x v="18"/>
    <n v="232"/>
    <n v="238"/>
    <n v="6.85"/>
    <n v="984.9"/>
    <n v="320.5"/>
    <n v="20.2"/>
    <n v="1"/>
  </r>
  <r>
    <x v="18"/>
    <x v="1"/>
    <x v="19"/>
    <n v="201"/>
    <n v="331"/>
    <n v="7.22"/>
    <n v="1206.2"/>
    <n v="484.9"/>
    <n v="28.6"/>
    <n v="0"/>
  </r>
  <r>
    <x v="1"/>
    <x v="2"/>
    <x v="20"/>
    <n v="271"/>
    <n v="199"/>
    <n v="7.78"/>
    <n v="1130.5"/>
    <n v="492.5"/>
    <n v="46.3"/>
    <n v="0"/>
  </r>
  <r>
    <x v="19"/>
    <x v="0"/>
    <x v="21"/>
    <n v="222"/>
    <n v="253"/>
    <n v="6.88"/>
    <n v="1262.2"/>
    <n v="418.7"/>
    <n v="20.6"/>
    <n v="1"/>
  </r>
  <r>
    <x v="20"/>
    <x v="0"/>
    <x v="22"/>
    <n v="229"/>
    <n v="353"/>
    <n v="7.3"/>
    <n v="1406.1"/>
    <n v="497.5"/>
    <n v="32.9"/>
    <n v="0"/>
  </r>
  <r>
    <x v="21"/>
    <x v="1"/>
    <x v="23"/>
    <n v="335"/>
    <n v="247"/>
    <n v="7.07"/>
    <n v="1390.2"/>
    <n v="678.3"/>
    <n v="39.299999999999997"/>
    <n v="0"/>
  </r>
  <r>
    <x v="22"/>
    <x v="1"/>
    <x v="24"/>
    <n v="432"/>
    <n v="289"/>
    <n v="6.23"/>
    <n v="1450.1"/>
    <n v="399.3"/>
    <n v="79"/>
    <n v="0"/>
  </r>
  <r>
    <x v="23"/>
    <x v="0"/>
    <x v="25"/>
    <n v="90"/>
    <n v="198"/>
    <n v="7.26"/>
    <n v="849.7"/>
    <n v="295.7"/>
    <n v="11.8"/>
    <n v="1"/>
  </r>
  <r>
    <x v="24"/>
    <x v="0"/>
    <x v="26"/>
    <n v="255"/>
    <n v="377"/>
    <n v="7.02"/>
    <n v="1628.5"/>
    <n v="479.8"/>
    <n v="41.6"/>
    <n v="0"/>
  </r>
  <r>
    <x v="25"/>
    <x v="1"/>
    <x v="27"/>
    <n v="305"/>
    <n v="83"/>
    <n v="7.52"/>
    <n v="1230"/>
    <n v="480.2"/>
    <n v="37.1"/>
    <n v="0"/>
  </r>
  <r>
    <x v="26"/>
    <x v="2"/>
    <x v="28"/>
    <n v="280"/>
    <n v="161"/>
    <n v="8.0399999999999991"/>
    <n v="2174.6"/>
    <n v="606.9"/>
    <n v="32.5"/>
    <n v="0"/>
  </r>
  <r>
    <x v="27"/>
    <x v="2"/>
    <x v="29"/>
    <n v="252"/>
    <n v="166"/>
    <n v="7.41"/>
    <n v="1234.3"/>
    <n v="581.6"/>
    <n v="20.9"/>
    <n v="1"/>
  </r>
  <r>
    <x v="21"/>
    <x v="0"/>
    <x v="30"/>
    <n v="172"/>
    <n v="353"/>
    <n v="6.93"/>
    <n v="526.29999999999995"/>
    <n v="202"/>
    <n v="15"/>
    <n v="1"/>
  </r>
  <r>
    <x v="28"/>
    <x v="1"/>
    <x v="31"/>
    <n v="205"/>
    <n v="265"/>
    <n v="7.3"/>
    <n v="1087.3"/>
    <n v="525.79999999999995"/>
    <n v="36.6"/>
    <n v="0"/>
  </r>
  <r>
    <x v="29"/>
    <x v="2"/>
    <x v="32"/>
    <n v="338"/>
    <n v="222"/>
    <n v="7.19"/>
    <n v="2023.6"/>
    <n v="611.29999999999995"/>
    <n v="46.6"/>
    <n v="0"/>
  </r>
  <r>
    <x v="30"/>
    <x v="0"/>
    <x v="33"/>
    <n v="366"/>
    <n v="150"/>
    <n v="7.56"/>
    <n v="1079.3"/>
    <n v="467.8"/>
    <n v="45.8"/>
    <n v="0"/>
  </r>
  <r>
    <x v="31"/>
    <x v="2"/>
    <x v="34"/>
    <n v="288"/>
    <n v="265"/>
    <n v="6.45"/>
    <n v="949.9"/>
    <n v="330.8"/>
    <n v="27.5"/>
    <n v="1"/>
  </r>
  <r>
    <x v="24"/>
    <x v="1"/>
    <x v="35"/>
    <n v="213"/>
    <n v="248"/>
    <n v="6.58"/>
    <n v="1545.4"/>
    <n v="539.6"/>
    <n v="39.5"/>
    <n v="0"/>
  </r>
  <r>
    <x v="32"/>
    <x v="1"/>
    <x v="36"/>
    <n v="288"/>
    <n v="191"/>
    <n v="6.18"/>
    <n v="846.6"/>
    <n v="301.89999999999998"/>
    <n v="21.3"/>
    <n v="1"/>
  </r>
  <r>
    <x v="33"/>
    <x v="1"/>
    <x v="37"/>
    <n v="261"/>
    <n v="136"/>
    <n v="7.37"/>
    <n v="1586.7"/>
    <n v="506.4"/>
    <n v="40.700000000000003"/>
    <n v="0"/>
  </r>
  <r>
    <x v="34"/>
    <x v="0"/>
    <x v="38"/>
    <n v="324"/>
    <n v="163"/>
    <n v="7.09"/>
    <n v="1213.9000000000001"/>
    <n v="443.2"/>
    <n v="43.6"/>
    <n v="0"/>
  </r>
  <r>
    <x v="35"/>
    <x v="1"/>
    <x v="39"/>
    <n v="289"/>
    <n v="255"/>
    <n v="6.81"/>
    <n v="1407.9"/>
    <n v="431.8"/>
    <n v="49"/>
    <n v="0"/>
  </r>
  <r>
    <x v="36"/>
    <x v="1"/>
    <x v="40"/>
    <n v="230"/>
    <n v="262"/>
    <n v="6.77"/>
    <n v="1826.7"/>
    <n v="579.70000000000005"/>
    <n v="31.8"/>
    <n v="0"/>
  </r>
  <r>
    <x v="30"/>
    <x v="2"/>
    <x v="41"/>
    <n v="295"/>
    <n v="245"/>
    <n v="6.84"/>
    <n v="959.7"/>
    <n v="362.7"/>
    <n v="43.5"/>
    <n v="0"/>
  </r>
  <r>
    <x v="37"/>
    <x v="1"/>
    <x v="42"/>
    <n v="186"/>
    <n v="229"/>
    <n v="6.68"/>
    <n v="1347.6"/>
    <n v="385.7"/>
    <n v="26.2"/>
    <n v="0"/>
  </r>
  <r>
    <x v="38"/>
    <x v="1"/>
    <x v="43"/>
    <n v="346"/>
    <n v="116"/>
    <n v="6.96"/>
    <n v="1809.6"/>
    <n v="655.9"/>
    <n v="45"/>
    <n v="0"/>
  </r>
  <r>
    <x v="39"/>
    <x v="1"/>
    <x v="44"/>
    <n v="375"/>
    <n v="243"/>
    <n v="6.88"/>
    <n v="1341.6"/>
    <n v="414.4"/>
    <n v="61.8"/>
    <n v="0"/>
  </r>
  <r>
    <x v="40"/>
    <x v="2"/>
    <x v="45"/>
    <n v="186"/>
    <n v="168"/>
    <n v="7.73"/>
    <n v="995.3"/>
    <n v="478.4"/>
    <n v="17.7"/>
    <n v="1"/>
  </r>
  <r>
    <x v="13"/>
    <x v="2"/>
    <x v="46"/>
    <n v="314"/>
    <n v="243"/>
    <n v="7.25"/>
    <n v="415.6"/>
    <n v="183"/>
    <n v="35.4"/>
    <n v="0"/>
  </r>
  <r>
    <x v="41"/>
    <x v="2"/>
    <x v="47"/>
    <n v="201"/>
    <n v="273"/>
    <n v="6.73"/>
    <n v="2018.8"/>
    <n v="544.1"/>
    <n v="31.9"/>
    <n v="0"/>
  </r>
  <r>
    <x v="42"/>
    <x v="1"/>
    <x v="48"/>
    <n v="366"/>
    <n v="193"/>
    <n v="6.84"/>
    <n v="1079.7"/>
    <n v="428.7"/>
    <n v="64.3"/>
    <n v="0"/>
  </r>
  <r>
    <x v="43"/>
    <x v="2"/>
    <x v="49"/>
    <n v="352"/>
    <n v="168"/>
    <n v="7.64"/>
    <n v="553.1"/>
    <n v="172.1"/>
    <n v="51"/>
    <n v="0"/>
  </r>
  <r>
    <x v="4"/>
    <x v="2"/>
    <x v="50"/>
    <n v="262"/>
    <n v="310"/>
    <n v="7.3"/>
    <n v="667.1"/>
    <n v="220.4"/>
    <n v="21.5"/>
    <n v="0"/>
  </r>
  <r>
    <x v="11"/>
    <x v="0"/>
    <x v="51"/>
    <n v="360"/>
    <n v="265"/>
    <n v="7.23"/>
    <n v="1502.2"/>
    <n v="376.8"/>
    <n v="55.8"/>
    <n v="0"/>
  </r>
  <r>
    <x v="5"/>
    <x v="0"/>
    <x v="52"/>
    <n v="246"/>
    <n v="195"/>
    <n v="7.42"/>
    <n v="1514.6"/>
    <n v="474"/>
    <n v="39.9"/>
    <n v="0"/>
  </r>
  <r>
    <x v="19"/>
    <x v="1"/>
    <x v="53"/>
    <n v="229"/>
    <n v="70"/>
    <n v="7.81"/>
    <n v="1416.4"/>
    <n v="534.29999999999995"/>
    <n v="26.3"/>
    <n v="1"/>
  </r>
  <r>
    <x v="44"/>
    <x v="1"/>
    <x v="54"/>
    <n v="235"/>
    <n v="237"/>
    <n v="6.55"/>
    <n v="1528.4"/>
    <n v="494"/>
    <n v="32"/>
    <n v="0"/>
  </r>
  <r>
    <x v="35"/>
    <x v="0"/>
    <x v="55"/>
    <n v="269"/>
    <n v="284"/>
    <n v="6.76"/>
    <n v="729.3"/>
    <n v="308.60000000000002"/>
    <n v="25.9"/>
    <n v="0"/>
  </r>
  <r>
    <x v="45"/>
    <x v="0"/>
    <x v="56"/>
    <n v="254"/>
    <n v="319"/>
    <n v="6.32"/>
    <n v="869.1"/>
    <n v="259.7"/>
    <n v="33.700000000000003"/>
    <n v="0"/>
  </r>
  <r>
    <x v="3"/>
    <x v="2"/>
    <x v="57"/>
    <n v="292"/>
    <n v="193"/>
    <n v="7.32"/>
    <n v="1936.5"/>
    <n v="487.7"/>
    <n v="25.7"/>
    <n v="1"/>
  </r>
  <r>
    <x v="46"/>
    <x v="0"/>
    <x v="58"/>
    <n v="231"/>
    <n v="195"/>
    <n v="6.93"/>
    <n v="1508.3"/>
    <n v="418.6"/>
    <n v="19.899999999999999"/>
    <n v="1"/>
  </r>
  <r>
    <x v="47"/>
    <x v="0"/>
    <x v="59"/>
    <n v="341"/>
    <n v="209"/>
    <n v="6.8"/>
    <n v="1204.9000000000001"/>
    <n v="544.4"/>
    <n v="56"/>
    <n v="0"/>
  </r>
  <r>
    <x v="21"/>
    <x v="2"/>
    <x v="60"/>
    <n v="362"/>
    <n v="299"/>
    <n v="6.76"/>
    <n v="1263.2"/>
    <n v="665.7"/>
    <n v="47"/>
    <n v="0"/>
  </r>
  <r>
    <x v="8"/>
    <x v="0"/>
    <x v="61"/>
    <n v="240"/>
    <n v="158"/>
    <n v="7.41"/>
    <n v="1121.9000000000001"/>
    <n v="321.39999999999998"/>
    <n v="28.2"/>
    <n v="1"/>
  </r>
  <r>
    <x v="48"/>
    <x v="1"/>
    <x v="62"/>
    <n v="166"/>
    <n v="232"/>
    <n v="7.04"/>
    <n v="1072.5999999999999"/>
    <n v="409"/>
    <n v="16.5"/>
    <n v="0"/>
  </r>
  <r>
    <x v="6"/>
    <x v="1"/>
    <x v="63"/>
    <n v="338"/>
    <n v="175"/>
    <n v="6.86"/>
    <n v="1480.7"/>
    <n v="665.4"/>
    <n v="30.5"/>
    <n v="0"/>
  </r>
  <r>
    <x v="49"/>
    <x v="1"/>
    <x v="64"/>
    <n v="371"/>
    <n v="259"/>
    <n v="7.66"/>
    <n v="1788.2"/>
    <n v="604.4"/>
    <n v="36.299999999999997"/>
    <n v="0"/>
  </r>
  <r>
    <x v="50"/>
    <x v="1"/>
    <x v="65"/>
    <n v="267"/>
    <n v="131"/>
    <n v="6.63"/>
    <n v="1298.8"/>
    <n v="383.3"/>
    <n v="24.7"/>
    <n v="1"/>
  </r>
  <r>
    <x v="51"/>
    <x v="0"/>
    <x v="66"/>
    <n v="177"/>
    <n v="266"/>
    <n v="6.53"/>
    <n v="1740.5"/>
    <n v="626"/>
    <n v="25.4"/>
    <n v="1"/>
  </r>
  <r>
    <x v="35"/>
    <x v="1"/>
    <x v="67"/>
    <n v="301"/>
    <n v="205"/>
    <n v="8.27"/>
    <n v="950.9"/>
    <n v="357.6"/>
    <n v="47.8"/>
    <n v="0"/>
  </r>
  <r>
    <x v="34"/>
    <x v="2"/>
    <x v="68"/>
    <n v="402"/>
    <n v="224"/>
    <n v="6.93"/>
    <n v="1382.8"/>
    <n v="565.5"/>
    <n v="70.2"/>
    <n v="0"/>
  </r>
  <r>
    <x v="20"/>
    <x v="1"/>
    <x v="69"/>
    <n v="130"/>
    <n v="277"/>
    <n v="6.86"/>
    <n v="939.9"/>
    <n v="510.2"/>
    <n v="25.1"/>
    <n v="0"/>
  </r>
  <r>
    <x v="6"/>
    <x v="2"/>
    <x v="70"/>
    <n v="318"/>
    <n v="320"/>
    <n v="6.77"/>
    <n v="656.1"/>
    <n v="301.3"/>
    <n v="28.9"/>
    <n v="0"/>
  </r>
  <r>
    <x v="8"/>
    <x v="2"/>
    <x v="71"/>
    <n v="255"/>
    <n v="121"/>
    <n v="7.04"/>
    <n v="1293.8"/>
    <n v="519"/>
    <n v="22.5"/>
    <n v="1"/>
  </r>
  <r>
    <x v="52"/>
    <x v="1"/>
    <x v="72"/>
    <n v="212"/>
    <n v="310"/>
    <n v="7.45"/>
    <n v="2004.1"/>
    <n v="555.20000000000005"/>
    <n v="32.9"/>
    <n v="0"/>
  </r>
  <r>
    <x v="53"/>
    <x v="2"/>
    <x v="73"/>
    <n v="320"/>
    <n v="279"/>
    <n v="7.44"/>
    <n v="1191.2"/>
    <n v="341.4"/>
    <n v="35.6"/>
    <n v="0"/>
  </r>
  <r>
    <x v="54"/>
    <x v="2"/>
    <x v="74"/>
    <n v="176"/>
    <n v="219"/>
    <n v="7.34"/>
    <n v="1294.5999999999999"/>
    <n v="534.1"/>
    <n v="29.2"/>
    <n v="0"/>
  </r>
  <r>
    <x v="55"/>
    <x v="2"/>
    <x v="39"/>
    <n v="304"/>
    <n v="338"/>
    <n v="6.97"/>
    <n v="2169.8000000000002"/>
    <n v="722.2"/>
    <n v="38.1"/>
    <n v="0"/>
  </r>
  <r>
    <x v="51"/>
    <x v="2"/>
    <x v="75"/>
    <n v="385"/>
    <n v="253"/>
    <n v="6.43"/>
    <n v="1034"/>
    <n v="294.10000000000002"/>
    <n v="48"/>
    <n v="0"/>
  </r>
  <r>
    <x v="56"/>
    <x v="1"/>
    <x v="76"/>
    <n v="294"/>
    <n v="331"/>
    <n v="7.23"/>
    <n v="920.7"/>
    <n v="298.5"/>
    <n v="38.4"/>
    <n v="0"/>
  </r>
  <r>
    <x v="4"/>
    <x v="1"/>
    <x v="77"/>
    <n v="210"/>
    <n v="199"/>
    <n v="7.78"/>
    <n v="1147.0999999999999"/>
    <n v="441.9"/>
    <n v="25"/>
    <n v="0"/>
  </r>
  <r>
    <x v="57"/>
    <x v="2"/>
    <x v="78"/>
    <n v="138"/>
    <n v="179"/>
    <n v="7.58"/>
    <n v="945.3"/>
    <n v="263"/>
    <n v="16.7"/>
    <n v="1"/>
  </r>
  <r>
    <x v="56"/>
    <x v="2"/>
    <x v="79"/>
    <n v="177"/>
    <n v="326"/>
    <n v="7.02"/>
    <n v="1439.9"/>
    <n v="620.20000000000005"/>
    <n v="15.9"/>
    <n v="0"/>
  </r>
  <r>
    <x v="26"/>
    <x v="1"/>
    <x v="80"/>
    <n v="133"/>
    <n v="391"/>
    <n v="7.46"/>
    <n v="1135.5"/>
    <n v="597.4"/>
    <n v="24.7"/>
    <n v="0"/>
  </r>
  <r>
    <x v="58"/>
    <x v="0"/>
    <x v="81"/>
    <n v="408"/>
    <n v="284"/>
    <n v="6.93"/>
    <n v="774"/>
    <n v="282.2"/>
    <n v="58.5"/>
    <n v="0"/>
  </r>
  <r>
    <x v="40"/>
    <x v="0"/>
    <x v="82"/>
    <n v="260"/>
    <n v="302"/>
    <n v="7.08"/>
    <n v="793.6"/>
    <n v="291.7"/>
    <n v="42.8"/>
    <n v="0"/>
  </r>
  <r>
    <x v="26"/>
    <x v="1"/>
    <x v="83"/>
    <n v="196"/>
    <n v="207"/>
    <n v="6.54"/>
    <n v="2434"/>
    <n v="971.7"/>
    <n v="36.5"/>
    <n v="0"/>
  </r>
  <r>
    <x v="59"/>
    <x v="2"/>
    <x v="84"/>
    <n v="176"/>
    <n v="147"/>
    <n v="6.96"/>
    <n v="1176.2"/>
    <n v="443.5"/>
    <n v="26.1"/>
    <n v="1"/>
  </r>
  <r>
    <x v="60"/>
    <x v="1"/>
    <x v="85"/>
    <n v="195"/>
    <n v="224"/>
    <n v="7.16"/>
    <n v="712.7"/>
    <n v="256.60000000000002"/>
    <n v="33.299999999999997"/>
    <n v="0"/>
  </r>
  <r>
    <x v="9"/>
    <x v="2"/>
    <x v="86"/>
    <n v="253"/>
    <n v="345"/>
    <n v="7.02"/>
    <n v="1661.8"/>
    <n v="494.2"/>
    <n v="40.5"/>
    <n v="0"/>
  </r>
  <r>
    <x v="61"/>
    <x v="1"/>
    <x v="87"/>
    <n v="177"/>
    <n v="110"/>
    <n v="7.45"/>
    <n v="1491.6"/>
    <n v="554.5"/>
    <n v="23"/>
    <n v="1"/>
  </r>
  <r>
    <x v="37"/>
    <x v="2"/>
    <x v="88"/>
    <n v="414"/>
    <n v="205"/>
    <n v="7.95"/>
    <n v="1356.4"/>
    <n v="520.20000000000005"/>
    <n v="37.700000000000003"/>
    <n v="0"/>
  </r>
  <r>
    <x v="47"/>
    <x v="0"/>
    <x v="89"/>
    <n v="220"/>
    <n v="106"/>
    <n v="7.69"/>
    <n v="735.6"/>
    <n v="351.9"/>
    <n v="28.2"/>
    <n v="1"/>
  </r>
  <r>
    <x v="62"/>
    <x v="2"/>
    <x v="90"/>
    <n v="217"/>
    <n v="248"/>
    <n v="6.96"/>
    <n v="1075.4000000000001"/>
    <n v="311.2"/>
    <n v="26"/>
    <n v="0"/>
  </r>
  <r>
    <x v="46"/>
    <x v="2"/>
    <x v="91"/>
    <n v="305"/>
    <n v="301"/>
    <n v="6.77"/>
    <n v="1180.7"/>
    <n v="538.1"/>
    <n v="48.2"/>
    <n v="0"/>
  </r>
  <r>
    <x v="63"/>
    <x v="2"/>
    <x v="92"/>
    <n v="396"/>
    <n v="153"/>
    <n v="6.81"/>
    <n v="1035.3"/>
    <n v="459.8"/>
    <n v="64.900000000000006"/>
    <n v="0"/>
  </r>
  <r>
    <x v="5"/>
    <x v="0"/>
    <x v="93"/>
    <n v="386"/>
    <n v="211"/>
    <n v="6.66"/>
    <n v="744.6"/>
    <n v="187"/>
    <n v="51.2"/>
    <n v="0"/>
  </r>
  <r>
    <x v="64"/>
    <x v="1"/>
    <x v="94"/>
    <n v="241"/>
    <n v="333"/>
    <n v="7.12"/>
    <n v="1716.7"/>
    <n v="467.4"/>
    <n v="21.9"/>
    <n v="0"/>
  </r>
  <r>
    <x v="65"/>
    <x v="2"/>
    <x v="95"/>
    <n v="300"/>
    <n v="234"/>
    <n v="7.29"/>
    <n v="1636.4"/>
    <n v="463.4"/>
    <n v="26.4"/>
    <n v="0"/>
  </r>
  <r>
    <x v="54"/>
    <x v="0"/>
    <x v="96"/>
    <n v="292"/>
    <n v="153"/>
    <n v="7.18"/>
    <n v="1547.5"/>
    <n v="508.4"/>
    <n v="46.8"/>
    <n v="0"/>
  </r>
  <r>
    <x v="52"/>
    <x v="2"/>
    <x v="97"/>
    <n v="322"/>
    <n v="148"/>
    <n v="7.19"/>
    <n v="904.4"/>
    <n v="398.6"/>
    <n v="55.5"/>
    <n v="0"/>
  </r>
  <r>
    <x v="4"/>
    <x v="1"/>
    <x v="98"/>
    <n v="300"/>
    <n v="99"/>
    <n v="7.17"/>
    <n v="1531.9"/>
    <n v="494.2"/>
    <n v="38.6"/>
    <n v="0"/>
  </r>
  <r>
    <x v="23"/>
    <x v="2"/>
    <x v="99"/>
    <n v="204"/>
    <n v="294"/>
    <n v="7.04"/>
    <n v="965.7"/>
    <n v="451.3"/>
    <n v="16.2"/>
    <n v="1"/>
  </r>
  <r>
    <x v="66"/>
    <x v="2"/>
    <x v="100"/>
    <n v="179"/>
    <n v="188"/>
    <n v="6.77"/>
    <n v="932.3"/>
    <n v="214.7"/>
    <n v="13.4"/>
    <n v="1"/>
  </r>
  <r>
    <x v="0"/>
    <x v="2"/>
    <x v="101"/>
    <n v="294"/>
    <n v="314"/>
    <n v="7.88"/>
    <n v="1515.4"/>
    <n v="391.3"/>
    <n v="25.2"/>
    <n v="0"/>
  </r>
  <r>
    <x v="45"/>
    <x v="1"/>
    <x v="102"/>
    <n v="185"/>
    <n v="301"/>
    <n v="7.57"/>
    <n v="925.2"/>
    <n v="234.1"/>
    <n v="33.9"/>
    <n v="0"/>
  </r>
  <r>
    <x v="67"/>
    <x v="0"/>
    <x v="103"/>
    <n v="389"/>
    <n v="194"/>
    <n v="6.69"/>
    <n v="1757.2"/>
    <n v="598.4"/>
    <n v="46.2"/>
    <n v="0"/>
  </r>
  <r>
    <x v="47"/>
    <x v="0"/>
    <x v="104"/>
    <n v="283"/>
    <n v="203"/>
    <n v="6.69"/>
    <n v="866.9"/>
    <n v="300.60000000000002"/>
    <n v="37.5"/>
    <n v="0"/>
  </r>
  <r>
    <x v="68"/>
    <x v="2"/>
    <x v="105"/>
    <n v="198"/>
    <n v="295"/>
    <n v="6.84"/>
    <n v="995.1"/>
    <n v="335.4"/>
    <n v="29.3"/>
    <n v="0"/>
  </r>
  <r>
    <x v="50"/>
    <x v="2"/>
    <x v="106"/>
    <n v="254"/>
    <n v="250"/>
    <n v="7.11"/>
    <n v="1239"/>
    <n v="317.7"/>
    <n v="26.5"/>
    <n v="1"/>
  </r>
  <r>
    <x v="41"/>
    <x v="1"/>
    <x v="107"/>
    <n v="239"/>
    <n v="259"/>
    <n v="7.67"/>
    <n v="2171.6999999999998"/>
    <n v="524.5"/>
    <n v="32.9"/>
    <n v="0"/>
  </r>
  <r>
    <x v="69"/>
    <x v="0"/>
    <x v="108"/>
    <n v="270"/>
    <n v="125"/>
    <n v="7.56"/>
    <n v="1114.3"/>
    <n v="385.6"/>
    <n v="34.4"/>
    <n v="0"/>
  </r>
  <r>
    <x v="4"/>
    <x v="0"/>
    <x v="109"/>
    <n v="356"/>
    <n v="303"/>
    <n v="7.58"/>
    <n v="1000.2"/>
    <n v="258.2"/>
    <n v="41.3"/>
    <n v="0"/>
  </r>
  <r>
    <x v="13"/>
    <x v="2"/>
    <x v="110"/>
    <n v="164"/>
    <n v="179"/>
    <n v="7.59"/>
    <n v="1072.2"/>
    <n v="437"/>
    <n v="14.5"/>
    <n v="1"/>
  </r>
  <r>
    <x v="10"/>
    <x v="0"/>
    <x v="111"/>
    <n v="131"/>
    <n v="81"/>
    <n v="7.6"/>
    <n v="692.9"/>
    <n v="365"/>
    <n v="14.6"/>
    <n v="1"/>
  </r>
  <r>
    <x v="70"/>
    <x v="1"/>
    <x v="112"/>
    <n v="307"/>
    <n v="197"/>
    <n v="7.43"/>
    <n v="1205"/>
    <n v="465.4"/>
    <n v="28"/>
    <n v="1"/>
  </r>
  <r>
    <x v="32"/>
    <x v="2"/>
    <x v="113"/>
    <n v="266"/>
    <n v="270"/>
    <n v="7.3"/>
    <n v="1211.8"/>
    <n v="498"/>
    <n v="30.4"/>
    <n v="0"/>
  </r>
  <r>
    <x v="71"/>
    <x v="1"/>
    <x v="114"/>
    <n v="293"/>
    <n v="387"/>
    <n v="7.05"/>
    <n v="1769.2"/>
    <n v="459.3"/>
    <n v="38.9"/>
    <n v="0"/>
  </r>
  <r>
    <x v="72"/>
    <x v="2"/>
    <x v="115"/>
    <n v="316"/>
    <n v="214"/>
    <n v="6.32"/>
    <n v="1393.6"/>
    <n v="637.1"/>
    <n v="34.4"/>
    <n v="0"/>
  </r>
  <r>
    <x v="51"/>
    <x v="1"/>
    <x v="116"/>
    <n v="266"/>
    <n v="147"/>
    <n v="7.04"/>
    <n v="923.5"/>
    <n v="428.9"/>
    <n v="49"/>
    <n v="0"/>
  </r>
  <r>
    <x v="19"/>
    <x v="0"/>
    <x v="117"/>
    <n v="344"/>
    <n v="389"/>
    <n v="7.91"/>
    <n v="2410"/>
    <n v="938.3"/>
    <n v="46.5"/>
    <n v="0"/>
  </r>
  <r>
    <x v="40"/>
    <x v="2"/>
    <x v="118"/>
    <n v="209"/>
    <n v="251"/>
    <n v="6.86"/>
    <n v="1580.3"/>
    <n v="630.70000000000005"/>
    <n v="35.5"/>
    <n v="0"/>
  </r>
  <r>
    <x v="73"/>
    <x v="2"/>
    <x v="119"/>
    <n v="285"/>
    <n v="222"/>
    <n v="6.82"/>
    <n v="1082.8"/>
    <n v="409.8"/>
    <n v="47.6"/>
    <n v="0"/>
  </r>
  <r>
    <x v="11"/>
    <x v="1"/>
    <x v="120"/>
    <n v="214"/>
    <n v="165"/>
    <n v="7.56"/>
    <n v="388.6"/>
    <n v="195.8"/>
    <n v="26.4"/>
    <n v="1"/>
  </r>
  <r>
    <x v="15"/>
    <x v="2"/>
    <x v="121"/>
    <n v="190"/>
    <n v="170"/>
    <n v="7.14"/>
    <n v="1554.2"/>
    <n v="401.9"/>
    <n v="16.2"/>
    <n v="1"/>
  </r>
  <r>
    <x v="74"/>
    <x v="0"/>
    <x v="122"/>
    <n v="329"/>
    <n v="344"/>
    <n v="6.88"/>
    <n v="1531.3"/>
    <n v="379.1"/>
    <n v="56"/>
    <n v="0"/>
  </r>
  <r>
    <x v="73"/>
    <x v="2"/>
    <x v="123"/>
    <n v="326"/>
    <n v="221"/>
    <n v="7.8"/>
    <n v="556.29999999999995"/>
    <n v="145.4"/>
    <n v="39.9"/>
    <n v="0"/>
  </r>
  <r>
    <x v="75"/>
    <x v="1"/>
    <x v="124"/>
    <n v="125"/>
    <n v="202"/>
    <n v="7.38"/>
    <n v="1329.9"/>
    <n v="440.4"/>
    <n v="18.600000000000001"/>
    <n v="1"/>
  </r>
  <r>
    <x v="42"/>
    <x v="0"/>
    <x v="125"/>
    <n v="190"/>
    <n v="204"/>
    <n v="7.44"/>
    <n v="1548.7"/>
    <n v="351.5"/>
    <n v="30.3"/>
    <n v="0"/>
  </r>
  <r>
    <x v="76"/>
    <x v="1"/>
    <x v="126"/>
    <n v="303"/>
    <n v="350"/>
    <n v="6.85"/>
    <n v="904.4"/>
    <n v="396.5"/>
    <n v="39.200000000000003"/>
    <n v="0"/>
  </r>
  <r>
    <x v="64"/>
    <x v="0"/>
    <x v="127"/>
    <n v="366"/>
    <n v="199"/>
    <n v="7.32"/>
    <n v="1703.5"/>
    <n v="559.20000000000005"/>
    <n v="46.9"/>
    <n v="0"/>
  </r>
  <r>
    <x v="17"/>
    <x v="2"/>
    <x v="128"/>
    <n v="227"/>
    <n v="284"/>
    <n v="7.27"/>
    <n v="1301.9000000000001"/>
    <n v="692.2"/>
    <n v="25.6"/>
    <n v="0"/>
  </r>
  <r>
    <x v="77"/>
    <x v="1"/>
    <x v="129"/>
    <n v="265"/>
    <n v="259"/>
    <n v="7.45"/>
    <n v="1199.2"/>
    <n v="433.1"/>
    <n v="24"/>
    <n v="0"/>
  </r>
  <r>
    <x v="78"/>
    <x v="2"/>
    <x v="130"/>
    <n v="167"/>
    <n v="257"/>
    <n v="7.62"/>
    <n v="1141.8"/>
    <n v="451.4"/>
    <n v="11.4"/>
    <n v="1"/>
  </r>
  <r>
    <x v="67"/>
    <x v="2"/>
    <x v="131"/>
    <n v="481"/>
    <n v="179"/>
    <n v="7.61"/>
    <n v="741.9"/>
    <n v="294.5"/>
    <n v="48.1"/>
    <n v="0"/>
  </r>
  <r>
    <x v="69"/>
    <x v="1"/>
    <x v="132"/>
    <n v="318"/>
    <n v="286"/>
    <n v="7.18"/>
    <n v="1304.5999999999999"/>
    <n v="292.2"/>
    <n v="33.9"/>
    <n v="0"/>
  </r>
  <r>
    <x v="79"/>
    <x v="0"/>
    <x v="133"/>
    <n v="352"/>
    <n v="353"/>
    <n v="7.41"/>
    <n v="1121.9000000000001"/>
    <n v="544.70000000000005"/>
    <n v="52.5"/>
    <n v="0"/>
  </r>
  <r>
    <x v="78"/>
    <x v="2"/>
    <x v="134"/>
    <n v="333"/>
    <n v="236"/>
    <n v="6.58"/>
    <n v="1896.6"/>
    <n v="537"/>
    <n v="45"/>
    <n v="0"/>
  </r>
  <r>
    <x v="16"/>
    <x v="0"/>
    <x v="135"/>
    <n v="355"/>
    <n v="176"/>
    <n v="7.39"/>
    <n v="1187"/>
    <n v="287.3"/>
    <n v="49.7"/>
    <n v="0"/>
  </r>
  <r>
    <x v="74"/>
    <x v="0"/>
    <x v="136"/>
    <n v="329"/>
    <n v="150"/>
    <n v="7.41"/>
    <n v="585.6"/>
    <n v="176.5"/>
    <n v="34.9"/>
    <n v="0"/>
  </r>
  <r>
    <x v="39"/>
    <x v="1"/>
    <x v="137"/>
    <n v="253"/>
    <n v="253"/>
    <n v="6.93"/>
    <n v="1673.5"/>
    <n v="582.6"/>
    <n v="24.6"/>
    <n v="0"/>
  </r>
  <r>
    <x v="80"/>
    <x v="2"/>
    <x v="138"/>
    <n v="340"/>
    <n v="221"/>
    <n v="6.75"/>
    <n v="896.5"/>
    <n v="292.39999999999998"/>
    <n v="50.4"/>
    <n v="0"/>
  </r>
  <r>
    <x v="81"/>
    <x v="2"/>
    <x v="139"/>
    <n v="286"/>
    <n v="233"/>
    <n v="7.07"/>
    <n v="1129.4000000000001"/>
    <n v="538.70000000000005"/>
    <n v="31.1"/>
    <n v="0"/>
  </r>
  <r>
    <x v="54"/>
    <x v="0"/>
    <x v="140"/>
    <n v="384"/>
    <n v="241"/>
    <n v="6.55"/>
    <n v="2395.1"/>
    <n v="797.8"/>
    <n v="56.9"/>
    <n v="0"/>
  </r>
  <r>
    <x v="21"/>
    <x v="2"/>
    <x v="141"/>
    <n v="221"/>
    <n v="137"/>
    <n v="7.25"/>
    <n v="1206.9000000000001"/>
    <n v="430.4"/>
    <n v="25.6"/>
    <n v="1"/>
  </r>
  <r>
    <x v="57"/>
    <x v="2"/>
    <x v="142"/>
    <n v="237"/>
    <n v="295"/>
    <n v="7.23"/>
    <n v="669.5"/>
    <n v="325.2"/>
    <n v="25.4"/>
    <n v="0"/>
  </r>
  <r>
    <x v="20"/>
    <x v="0"/>
    <x v="143"/>
    <n v="333"/>
    <n v="256"/>
    <n v="6.67"/>
    <n v="927.7"/>
    <n v="200.3"/>
    <n v="49"/>
    <n v="0"/>
  </r>
  <r>
    <x v="62"/>
    <x v="1"/>
    <x v="94"/>
    <n v="382"/>
    <n v="235"/>
    <n v="7.12"/>
    <n v="1303.0999999999999"/>
    <n v="627.5"/>
    <n v="38.200000000000003"/>
    <n v="0"/>
  </r>
  <r>
    <x v="82"/>
    <x v="2"/>
    <x v="141"/>
    <n v="292"/>
    <n v="256"/>
    <n v="7.58"/>
    <n v="1315.4"/>
    <n v="438.4"/>
    <n v="45.9"/>
    <n v="0"/>
  </r>
  <r>
    <x v="75"/>
    <x v="2"/>
    <x v="144"/>
    <n v="223"/>
    <n v="305"/>
    <n v="7.58"/>
    <n v="1812.2"/>
    <n v="418.3"/>
    <n v="26.9"/>
    <n v="0"/>
  </r>
  <r>
    <x v="29"/>
    <x v="1"/>
    <x v="145"/>
    <n v="270"/>
    <n v="244"/>
    <n v="7.55"/>
    <n v="1459.2"/>
    <n v="468.7"/>
    <n v="26.5"/>
    <n v="1"/>
  </r>
  <r>
    <x v="55"/>
    <x v="0"/>
    <x v="146"/>
    <n v="240"/>
    <n v="180"/>
    <n v="7.03"/>
    <n v="1417.4"/>
    <n v="482.2"/>
    <n v="32.299999999999997"/>
    <n v="0"/>
  </r>
  <r>
    <x v="83"/>
    <x v="2"/>
    <x v="147"/>
    <n v="432"/>
    <n v="322"/>
    <n v="6.95"/>
    <n v="1282.2"/>
    <n v="337.8"/>
    <n v="62.1"/>
    <n v="0"/>
  </r>
  <r>
    <x v="50"/>
    <x v="0"/>
    <x v="148"/>
    <n v="352"/>
    <n v="210"/>
    <n v="6.92"/>
    <n v="1121.2"/>
    <n v="296.2"/>
    <n v="28.5"/>
    <n v="1"/>
  </r>
  <r>
    <x v="84"/>
    <x v="2"/>
    <x v="149"/>
    <n v="381"/>
    <n v="189"/>
    <n v="7.37"/>
    <n v="279.7"/>
    <n v="117.1"/>
    <n v="55"/>
    <n v="0"/>
  </r>
  <r>
    <x v="78"/>
    <x v="2"/>
    <x v="150"/>
    <n v="304"/>
    <n v="131"/>
    <n v="8.16"/>
    <n v="846.1"/>
    <n v="296.8"/>
    <n v="36.799999999999997"/>
    <n v="0"/>
  </r>
  <r>
    <x v="85"/>
    <x v="0"/>
    <x v="151"/>
    <n v="236"/>
    <n v="241"/>
    <n v="7.73"/>
    <n v="1489.8"/>
    <n v="353.4"/>
    <n v="33"/>
    <n v="0"/>
  </r>
  <r>
    <x v="35"/>
    <x v="1"/>
    <x v="152"/>
    <n v="374"/>
    <n v="167"/>
    <n v="7.81"/>
    <n v="955"/>
    <n v="316.10000000000002"/>
    <n v="40.9"/>
    <n v="0"/>
  </r>
  <r>
    <x v="86"/>
    <x v="1"/>
    <x v="153"/>
    <n v="412"/>
    <n v="204"/>
    <n v="7.71"/>
    <n v="1849.3"/>
    <n v="396.6"/>
    <n v="61.2"/>
    <n v="0"/>
  </r>
  <r>
    <x v="87"/>
    <x v="2"/>
    <x v="154"/>
    <n v="327"/>
    <n v="271"/>
    <n v="6.37"/>
    <n v="1592.4"/>
    <n v="473.2"/>
    <n v="56.9"/>
    <n v="0"/>
  </r>
  <r>
    <x v="88"/>
    <x v="2"/>
    <x v="155"/>
    <n v="278"/>
    <n v="242"/>
    <n v="7.01"/>
    <n v="1231.7"/>
    <n v="338.5"/>
    <n v="19.2"/>
    <n v="1"/>
  </r>
  <r>
    <x v="67"/>
    <x v="2"/>
    <x v="156"/>
    <n v="366"/>
    <n v="311"/>
    <n v="6.91"/>
    <n v="1995"/>
    <n v="545.9"/>
    <n v="52.6"/>
    <n v="0"/>
  </r>
  <r>
    <x v="25"/>
    <x v="0"/>
    <x v="157"/>
    <n v="250"/>
    <n v="261"/>
    <n v="7.66"/>
    <n v="1264"/>
    <n v="333.5"/>
    <n v="25.2"/>
    <n v="0"/>
  </r>
  <r>
    <x v="89"/>
    <x v="2"/>
    <x v="158"/>
    <n v="341"/>
    <n v="212"/>
    <n v="7.86"/>
    <n v="987.2"/>
    <n v="374.1"/>
    <n v="42.1"/>
    <n v="0"/>
  </r>
  <r>
    <x v="36"/>
    <x v="0"/>
    <x v="159"/>
    <n v="223"/>
    <n v="217"/>
    <n v="6.8"/>
    <n v="838.1"/>
    <n v="226.2"/>
    <n v="22.5"/>
    <n v="1"/>
  </r>
  <r>
    <x v="72"/>
    <x v="2"/>
    <x v="0"/>
    <n v="202"/>
    <n v="204"/>
    <n v="7.12"/>
    <n v="2055.1"/>
    <n v="563.4"/>
    <n v="27.4"/>
    <n v="1"/>
  </r>
  <r>
    <x v="82"/>
    <x v="2"/>
    <x v="160"/>
    <n v="325"/>
    <n v="285"/>
    <n v="7.35"/>
    <n v="1520.8"/>
    <n v="330.6"/>
    <n v="44.1"/>
    <n v="0"/>
  </r>
  <r>
    <x v="13"/>
    <x v="1"/>
    <x v="161"/>
    <n v="307"/>
    <n v="242"/>
    <n v="6.88"/>
    <n v="1201.3"/>
    <n v="444.4"/>
    <n v="54.1"/>
    <n v="0"/>
  </r>
  <r>
    <x v="90"/>
    <x v="1"/>
    <x v="162"/>
    <n v="432"/>
    <n v="211"/>
    <n v="6.82"/>
    <n v="1729.4"/>
    <n v="588.6"/>
    <n v="76.8"/>
    <n v="0"/>
  </r>
  <r>
    <x v="91"/>
    <x v="0"/>
    <x v="163"/>
    <n v="258"/>
    <n v="299"/>
    <n v="6.8"/>
    <n v="1693"/>
    <n v="448.3"/>
    <n v="44"/>
    <n v="0"/>
  </r>
  <r>
    <x v="47"/>
    <x v="2"/>
    <x v="164"/>
    <n v="282"/>
    <n v="247"/>
    <n v="7.5"/>
    <n v="1178.8"/>
    <n v="435.8"/>
    <n v="52.5"/>
    <n v="0"/>
  </r>
  <r>
    <x v="18"/>
    <x v="1"/>
    <x v="156"/>
    <n v="189"/>
    <n v="207"/>
    <n v="6.69"/>
    <n v="1475.7"/>
    <n v="471.8"/>
    <n v="23.3"/>
    <n v="0"/>
  </r>
  <r>
    <x v="82"/>
    <x v="1"/>
    <x v="165"/>
    <n v="130"/>
    <n v="134"/>
    <n v="7.61"/>
    <n v="643.4"/>
    <n v="201.8"/>
    <n v="20"/>
    <n v="1"/>
  </r>
  <r>
    <x v="92"/>
    <x v="0"/>
    <x v="166"/>
    <n v="138"/>
    <n v="271"/>
    <n v="7.14"/>
    <n v="1081.0999999999999"/>
    <n v="384.1"/>
    <n v="23.5"/>
    <n v="0"/>
  </r>
  <r>
    <x v="93"/>
    <x v="1"/>
    <x v="167"/>
    <n v="317"/>
    <n v="257"/>
    <n v="7.44"/>
    <n v="1180.2"/>
    <n v="408.5"/>
    <n v="33.4"/>
    <n v="0"/>
  </r>
  <r>
    <x v="79"/>
    <x v="0"/>
    <x v="168"/>
    <n v="186"/>
    <n v="244"/>
    <n v="7.8"/>
    <n v="678.1"/>
    <n v="269.2"/>
    <n v="25.8"/>
    <n v="1"/>
  </r>
  <r>
    <x v="94"/>
    <x v="1"/>
    <x v="169"/>
    <n v="370"/>
    <n v="210"/>
    <n v="6.8"/>
    <n v="1836.2"/>
    <n v="696"/>
    <n v="57.3"/>
    <n v="0"/>
  </r>
  <r>
    <x v="74"/>
    <x v="0"/>
    <x v="170"/>
    <n v="394"/>
    <n v="182"/>
    <n v="6.73"/>
    <n v="1285.8"/>
    <n v="351.2"/>
    <n v="40.700000000000003"/>
    <n v="0"/>
  </r>
  <r>
    <x v="69"/>
    <x v="2"/>
    <x v="171"/>
    <n v="257"/>
    <n v="224"/>
    <n v="7.29"/>
    <n v="1182.0999999999999"/>
    <n v="383.2"/>
    <n v="36.1"/>
    <n v="0"/>
  </r>
  <r>
    <x v="50"/>
    <x v="1"/>
    <x v="62"/>
    <n v="413"/>
    <n v="256"/>
    <n v="6.64"/>
    <n v="1068.0999999999999"/>
    <n v="411.1"/>
    <n v="61.3"/>
    <n v="0"/>
  </r>
  <r>
    <x v="89"/>
    <x v="0"/>
    <x v="172"/>
    <n v="298"/>
    <n v="231"/>
    <n v="6.77"/>
    <n v="1990.5"/>
    <n v="681.9"/>
    <n v="39.799999999999997"/>
    <n v="0"/>
  </r>
  <r>
    <x v="8"/>
    <x v="2"/>
    <x v="173"/>
    <n v="370"/>
    <n v="230"/>
    <n v="7.05"/>
    <n v="2031.7"/>
    <n v="439.6"/>
    <n v="29"/>
    <n v="0"/>
  </r>
  <r>
    <x v="74"/>
    <x v="2"/>
    <x v="174"/>
    <n v="262"/>
    <n v="207"/>
    <n v="7.17"/>
    <n v="754.4"/>
    <n v="309.7"/>
    <n v="46.1"/>
    <n v="0"/>
  </r>
  <r>
    <x v="0"/>
    <x v="2"/>
    <x v="175"/>
    <n v="357"/>
    <n v="264"/>
    <n v="6.54"/>
    <n v="878.1"/>
    <n v="185.9"/>
    <n v="37.6"/>
    <n v="0"/>
  </r>
  <r>
    <x v="95"/>
    <x v="1"/>
    <x v="176"/>
    <n v="205"/>
    <n v="256"/>
    <n v="6.93"/>
    <n v="935.3"/>
    <n v="440"/>
    <n v="39.200000000000003"/>
    <n v="0"/>
  </r>
  <r>
    <x v="37"/>
    <x v="1"/>
    <x v="177"/>
    <n v="330"/>
    <n v="187"/>
    <n v="7.36"/>
    <n v="2017.7"/>
    <n v="415.3"/>
    <n v="37.6"/>
    <n v="0"/>
  </r>
  <r>
    <x v="42"/>
    <x v="1"/>
    <x v="178"/>
    <n v="243"/>
    <n v="293"/>
    <n v="7.7"/>
    <n v="1031.7"/>
    <n v="492.2"/>
    <n v="34.200000000000003"/>
    <n v="0"/>
  </r>
  <r>
    <x v="54"/>
    <x v="1"/>
    <x v="179"/>
    <n v="270"/>
    <n v="295"/>
    <n v="6.22"/>
    <n v="1140.0999999999999"/>
    <n v="345.3"/>
    <n v="20.5"/>
    <n v="0"/>
  </r>
  <r>
    <x v="40"/>
    <x v="1"/>
    <x v="180"/>
    <n v="331"/>
    <n v="297"/>
    <n v="7.69"/>
    <n v="1416.9"/>
    <n v="528.5"/>
    <n v="46.7"/>
    <n v="0"/>
  </r>
  <r>
    <x v="57"/>
    <x v="1"/>
    <x v="149"/>
    <n v="294"/>
    <n v="231"/>
    <n v="7.5"/>
    <n v="383.8"/>
    <n v="113.7"/>
    <n v="45.4"/>
    <n v="0"/>
  </r>
  <r>
    <x v="69"/>
    <x v="0"/>
    <x v="181"/>
    <n v="274"/>
    <n v="226"/>
    <n v="6.61"/>
    <n v="869.7"/>
    <n v="325"/>
    <n v="33.5"/>
    <n v="0"/>
  </r>
  <r>
    <x v="50"/>
    <x v="1"/>
    <x v="182"/>
    <n v="338"/>
    <n v="159"/>
    <n v="6.44"/>
    <n v="746"/>
    <n v="197.6"/>
    <n v="55.2"/>
    <n v="0"/>
  </r>
  <r>
    <x v="23"/>
    <x v="2"/>
    <x v="183"/>
    <n v="344"/>
    <n v="293"/>
    <n v="7.29"/>
    <n v="1235.4000000000001"/>
    <n v="570.29999999999995"/>
    <n v="43.3"/>
    <n v="0"/>
  </r>
  <r>
    <x v="25"/>
    <x v="1"/>
    <x v="116"/>
    <n v="169"/>
    <n v="90"/>
    <n v="6.91"/>
    <n v="1088.3"/>
    <n v="304.10000000000002"/>
    <n v="11.1"/>
    <n v="1"/>
  </r>
  <r>
    <x v="56"/>
    <x v="1"/>
    <x v="184"/>
    <n v="325"/>
    <n v="213"/>
    <n v="7.16"/>
    <n v="863.4"/>
    <n v="261.7"/>
    <n v="29.5"/>
    <n v="1"/>
  </r>
  <r>
    <x v="96"/>
    <x v="0"/>
    <x v="185"/>
    <n v="334"/>
    <n v="216"/>
    <n v="7.49"/>
    <n v="1227.3"/>
    <n v="363.6"/>
    <n v="28.5"/>
    <n v="1"/>
  </r>
  <r>
    <x v="96"/>
    <x v="0"/>
    <x v="186"/>
    <n v="220"/>
    <n v="300"/>
    <n v="6.93"/>
    <n v="765.1"/>
    <n v="216.4"/>
    <n v="23.1"/>
    <n v="1"/>
  </r>
  <r>
    <x v="60"/>
    <x v="2"/>
    <x v="38"/>
    <n v="311"/>
    <n v="240"/>
    <n v="7.17"/>
    <n v="1410.2"/>
    <n v="388.6"/>
    <n v="54.2"/>
    <n v="0"/>
  </r>
  <r>
    <x v="68"/>
    <x v="1"/>
    <x v="187"/>
    <n v="174"/>
    <n v="172"/>
    <n v="7.31"/>
    <n v="1324.7"/>
    <n v="312"/>
    <n v="20.9"/>
    <n v="1"/>
  </r>
  <r>
    <x v="8"/>
    <x v="0"/>
    <x v="188"/>
    <n v="395"/>
    <n v="140"/>
    <n v="7.5"/>
    <n v="1135.2"/>
    <n v="499"/>
    <n v="60"/>
    <n v="0"/>
  </r>
  <r>
    <x v="30"/>
    <x v="1"/>
    <x v="189"/>
    <n v="261"/>
    <n v="189"/>
    <n v="7.89"/>
    <n v="1066.2"/>
    <n v="428.2"/>
    <n v="37.1"/>
    <n v="0"/>
  </r>
  <r>
    <x v="97"/>
    <x v="2"/>
    <x v="190"/>
    <n v="274"/>
    <n v="247"/>
    <n v="7.86"/>
    <n v="1714.2"/>
    <n v="476.4"/>
    <n v="41.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D82F3-58AD-453A-8827-D3272E6ABA30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M2:O4" firstHeaderRow="0" firstDataRow="1" firstDataCol="1"/>
  <pivotFields count="10">
    <pivotField showAll="0">
      <items count="99">
        <item h="1" x="22"/>
        <item h="1" x="44"/>
        <item h="1" x="63"/>
        <item h="1" x="77"/>
        <item x="40"/>
        <item h="1" x="93"/>
        <item x="25"/>
        <item x="20"/>
        <item x="16"/>
        <item h="1" x="41"/>
        <item h="1" x="49"/>
        <item x="67"/>
        <item x="10"/>
        <item h="1" x="71"/>
        <item h="1" x="45"/>
        <item h="1" x="92"/>
        <item h="1" x="65"/>
        <item h="1" x="26"/>
        <item h="1" x="70"/>
        <item h="1" x="54"/>
        <item h="1" x="6"/>
        <item h="1" x="31"/>
        <item h="1" x="2"/>
        <item h="1" x="85"/>
        <item h="1" x="58"/>
        <item h="1" x="78"/>
        <item h="1" x="60"/>
        <item h="1" x="46"/>
        <item h="1" x="59"/>
        <item h="1" x="36"/>
        <item h="1" x="51"/>
        <item h="1" x="95"/>
        <item h="1" x="39"/>
        <item h="1" x="17"/>
        <item h="1" x="84"/>
        <item h="1" x="14"/>
        <item h="1" x="73"/>
        <item h="1" x="21"/>
        <item h="1" x="0"/>
        <item h="1" x="19"/>
        <item h="1" x="94"/>
        <item h="1" x="64"/>
        <item h="1" x="97"/>
        <item h="1" x="83"/>
        <item h="1" x="32"/>
        <item h="1" x="74"/>
        <item h="1" x="24"/>
        <item h="1" x="30"/>
        <item h="1" x="9"/>
        <item h="1" x="66"/>
        <item h="1" x="72"/>
        <item h="1" x="27"/>
        <item h="1" x="34"/>
        <item h="1" x="86"/>
        <item h="1" x="28"/>
        <item h="1" x="35"/>
        <item h="1" x="4"/>
        <item h="1" x="1"/>
        <item h="1" x="29"/>
        <item h="1" x="81"/>
        <item h="1" x="48"/>
        <item h="1" x="11"/>
        <item h="1" x="37"/>
        <item h="1" x="23"/>
        <item h="1" x="69"/>
        <item h="1" x="76"/>
        <item h="1" x="38"/>
        <item h="1" x="79"/>
        <item h="1" x="62"/>
        <item h="1" x="5"/>
        <item h="1" x="96"/>
        <item h="1" x="87"/>
        <item h="1" x="42"/>
        <item h="1" x="12"/>
        <item h="1" x="15"/>
        <item h="1" x="57"/>
        <item h="1" x="8"/>
        <item h="1" x="47"/>
        <item h="1" x="53"/>
        <item h="1" x="56"/>
        <item h="1" x="88"/>
        <item h="1" x="43"/>
        <item h="1" x="55"/>
        <item h="1" x="61"/>
        <item h="1" x="18"/>
        <item h="1" x="7"/>
        <item h="1" x="89"/>
        <item h="1" x="50"/>
        <item h="1" x="82"/>
        <item h="1" x="68"/>
        <item h="1" x="13"/>
        <item h="1" x="75"/>
        <item h="1" x="33"/>
        <item h="1" x="91"/>
        <item h="1" x="90"/>
        <item h="1" x="80"/>
        <item h="1" x="3"/>
        <item h="1" x="52"/>
        <item t="default"/>
      </items>
    </pivotField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DBO_salida_mg_L" fld="8" subtotal="average" baseField="1" baseItem="0"/>
    <dataField name="Suma de cumplimiento_norma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92383-FDBF-4670-99D6-F78C9B7365D2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C8" firstHeaderRow="0" firstDataRow="1" firstDataCol="1"/>
  <pivotFields count="10">
    <pivotField axis="axisRow" showAll="0">
      <items count="99">
        <item h="1" x="22"/>
        <item h="1" x="44"/>
        <item h="1" x="63"/>
        <item h="1" x="77"/>
        <item x="40"/>
        <item h="1" x="93"/>
        <item x="25"/>
        <item x="20"/>
        <item x="16"/>
        <item h="1" x="41"/>
        <item h="1" x="49"/>
        <item x="67"/>
        <item x="10"/>
        <item h="1" x="71"/>
        <item h="1" x="45"/>
        <item h="1" x="92"/>
        <item h="1" x="65"/>
        <item h="1" x="26"/>
        <item h="1" x="70"/>
        <item h="1" x="54"/>
        <item h="1" x="6"/>
        <item h="1" x="31"/>
        <item h="1" x="2"/>
        <item h="1" x="85"/>
        <item h="1" x="58"/>
        <item h="1" x="78"/>
        <item h="1" x="60"/>
        <item h="1" x="46"/>
        <item h="1" x="59"/>
        <item h="1" x="36"/>
        <item h="1" x="51"/>
        <item h="1" x="95"/>
        <item h="1" x="39"/>
        <item h="1" x="17"/>
        <item h="1" x="84"/>
        <item h="1" x="14"/>
        <item h="1" x="73"/>
        <item h="1" x="21"/>
        <item h="1" x="0"/>
        <item h="1" x="19"/>
        <item h="1" x="94"/>
        <item h="1" x="64"/>
        <item h="1" x="97"/>
        <item h="1" x="83"/>
        <item h="1" x="32"/>
        <item h="1" x="74"/>
        <item h="1" x="24"/>
        <item h="1" x="30"/>
        <item h="1" x="9"/>
        <item h="1" x="66"/>
        <item h="1" x="72"/>
        <item h="1" x="27"/>
        <item h="1" x="34"/>
        <item h="1" x="86"/>
        <item h="1" x="28"/>
        <item h="1" x="35"/>
        <item h="1" x="4"/>
        <item h="1" x="1"/>
        <item h="1" x="29"/>
        <item h="1" x="81"/>
        <item h="1" x="48"/>
        <item h="1" x="11"/>
        <item h="1" x="37"/>
        <item h="1" x="23"/>
        <item h="1" x="69"/>
        <item h="1" x="76"/>
        <item h="1" x="38"/>
        <item h="1" x="79"/>
        <item h="1" x="62"/>
        <item h="1" x="5"/>
        <item h="1" x="96"/>
        <item h="1" x="87"/>
        <item h="1" x="42"/>
        <item h="1" x="12"/>
        <item h="1" x="15"/>
        <item h="1" x="57"/>
        <item h="1" x="8"/>
        <item h="1" x="47"/>
        <item h="1" x="53"/>
        <item h="1" x="56"/>
        <item h="1" x="88"/>
        <item h="1" x="43"/>
        <item h="1" x="55"/>
        <item h="1" x="61"/>
        <item h="1" x="18"/>
        <item h="1" x="7"/>
        <item h="1" x="89"/>
        <item h="1" x="50"/>
        <item h="1" x="82"/>
        <item h="1" x="68"/>
        <item h="1" x="13"/>
        <item h="1" x="75"/>
        <item h="1" x="33"/>
        <item h="1" x="91"/>
        <item h="1" x="90"/>
        <item h="1" x="80"/>
        <item h="1" x="3"/>
        <item h="1" x="52"/>
        <item t="default"/>
      </items>
    </pivotField>
    <pivotField showAll="0">
      <items count="4">
        <item h="1" x="2"/>
        <item h="1" x="1"/>
        <item x="0"/>
        <item t="default"/>
      </items>
    </pivotField>
    <pivotField dataField="1" showAll="0">
      <items count="192">
        <item x="149"/>
        <item x="46"/>
        <item x="123"/>
        <item x="120"/>
        <item x="136"/>
        <item x="49"/>
        <item x="9"/>
        <item x="50"/>
        <item x="30"/>
        <item x="93"/>
        <item x="168"/>
        <item x="159"/>
        <item x="138"/>
        <item x="70"/>
        <item x="175"/>
        <item x="150"/>
        <item x="76"/>
        <item x="186"/>
        <item x="143"/>
        <item x="104"/>
        <item x="102"/>
        <item x="165"/>
        <item x="109"/>
        <item x="17"/>
        <item x="182"/>
        <item x="100"/>
        <item x="56"/>
        <item x="75"/>
        <item x="78"/>
        <item x="142"/>
        <item x="13"/>
        <item x="90"/>
        <item x="111"/>
        <item x="184"/>
        <item x="55"/>
        <item x="108"/>
        <item x="25"/>
        <item x="61"/>
        <item x="148"/>
        <item x="89"/>
        <item x="157"/>
        <item x="81"/>
        <item x="174"/>
        <item x="132"/>
        <item x="126"/>
        <item x="85"/>
        <item x="116"/>
        <item x="41"/>
        <item x="189"/>
        <item x="170"/>
        <item x="99"/>
        <item x="187"/>
        <item x="181"/>
        <item x="131"/>
        <item x="77"/>
        <item x="110"/>
        <item x="82"/>
        <item x="179"/>
        <item x="84"/>
        <item x="67"/>
        <item x="112"/>
        <item x="15"/>
        <item x="48"/>
        <item x="44"/>
        <item x="135"/>
        <item x="6"/>
        <item x="34"/>
        <item x="36"/>
        <item x="129"/>
        <item x="24"/>
        <item x="45"/>
        <item x="62"/>
        <item x="188"/>
        <item x="178"/>
        <item x="185"/>
        <item x="5"/>
        <item x="147"/>
        <item x="158"/>
        <item x="97"/>
        <item x="96"/>
        <item x="19"/>
        <item x="51"/>
        <item x="119"/>
        <item x="125"/>
        <item x="20"/>
        <item x="152"/>
        <item x="69"/>
        <item x="18"/>
        <item x="73"/>
        <item x="106"/>
        <item x="8"/>
        <item x="176"/>
        <item x="154"/>
        <item x="16"/>
        <item x="105"/>
        <item x="53"/>
        <item x="121"/>
        <item x="74"/>
        <item x="151"/>
        <item x="164"/>
        <item x="92"/>
        <item x="146"/>
        <item x="59"/>
        <item x="26"/>
        <item x="141"/>
        <item x="38"/>
        <item x="65"/>
        <item x="11"/>
        <item x="160"/>
        <item x="22"/>
        <item x="33"/>
        <item x="122"/>
        <item x="124"/>
        <item x="133"/>
        <item x="1"/>
        <item x="139"/>
        <item x="167"/>
        <item x="155"/>
        <item x="88"/>
        <item x="130"/>
        <item x="98"/>
        <item x="71"/>
        <item x="7"/>
        <item x="183"/>
        <item x="86"/>
        <item x="35"/>
        <item x="80"/>
        <item x="101"/>
        <item x="68"/>
        <item x="31"/>
        <item x="103"/>
        <item x="2"/>
        <item x="153"/>
        <item x="113"/>
        <item x="166"/>
        <item x="21"/>
        <item x="54"/>
        <item x="180"/>
        <item x="161"/>
        <item x="58"/>
        <item x="40"/>
        <item x="134"/>
        <item x="144"/>
        <item x="137"/>
        <item x="91"/>
        <item x="42"/>
        <item x="127"/>
        <item x="27"/>
        <item x="87"/>
        <item x="37"/>
        <item x="171"/>
        <item x="12"/>
        <item x="52"/>
        <item x="114"/>
        <item x="95"/>
        <item x="156"/>
        <item x="29"/>
        <item x="177"/>
        <item x="57"/>
        <item x="47"/>
        <item x="190"/>
        <item x="145"/>
        <item x="72"/>
        <item x="43"/>
        <item x="0"/>
        <item x="23"/>
        <item x="172"/>
        <item x="128"/>
        <item x="63"/>
        <item x="163"/>
        <item x="4"/>
        <item x="94"/>
        <item x="3"/>
        <item x="28"/>
        <item x="10"/>
        <item x="60"/>
        <item x="14"/>
        <item x="173"/>
        <item x="169"/>
        <item x="79"/>
        <item x="39"/>
        <item x="32"/>
        <item x="162"/>
        <item x="115"/>
        <item x="66"/>
        <item x="140"/>
        <item x="107"/>
        <item x="64"/>
        <item x="118"/>
        <item x="117"/>
        <item x="8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 v="4"/>
    </i>
    <i>
      <x v="6"/>
    </i>
    <i>
      <x v="7"/>
    </i>
    <i>
      <x v="8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caudal_entrada_m3_d" fld="2" subtotal="average" baseField="0" baseItem="0"/>
    <dataField name="Promedio de energia_aeracion_kWh" fld="6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registro" xr10:uid="{20EB4055-A005-4909-B3B0-2A7E82B2ABF5}" sourceName="fecha_registro">
  <pivotTables>
    <pivotTable tabId="2" name="TablaDinámica1"/>
    <pivotTable tabId="2" name="TablaDinámica3"/>
  </pivotTables>
  <data>
    <tabular pivotCacheId="1812213116">
      <items count="98">
        <i x="40" s="1"/>
        <i x="25" s="1"/>
        <i x="20" s="1"/>
        <i x="16" s="1"/>
        <i x="67" s="1"/>
        <i x="10" s="1"/>
        <i x="45"/>
        <i x="92"/>
        <i x="54"/>
        <i x="85"/>
        <i x="58"/>
        <i x="46"/>
        <i x="36"/>
        <i x="51"/>
        <i x="17"/>
        <i x="21"/>
        <i x="0"/>
        <i x="19"/>
        <i x="64"/>
        <i x="74"/>
        <i x="24"/>
        <i x="30"/>
        <i x="9"/>
        <i x="34"/>
        <i x="35"/>
        <i x="4"/>
        <i x="1"/>
        <i x="11"/>
        <i x="23"/>
        <i x="69"/>
        <i x="79"/>
        <i x="5"/>
        <i x="96"/>
        <i x="42"/>
        <i x="8"/>
        <i x="47"/>
        <i x="55"/>
        <i x="89"/>
        <i x="50"/>
        <i x="91"/>
        <i x="22" nd="1"/>
        <i x="44" nd="1"/>
        <i x="63" nd="1"/>
        <i x="77" nd="1"/>
        <i x="93" nd="1"/>
        <i x="41" nd="1"/>
        <i x="49" nd="1"/>
        <i x="71" nd="1"/>
        <i x="65" nd="1"/>
        <i x="26" nd="1"/>
        <i x="70" nd="1"/>
        <i x="6" nd="1"/>
        <i x="31" nd="1"/>
        <i x="2" nd="1"/>
        <i x="78" nd="1"/>
        <i x="60" nd="1"/>
        <i x="59" nd="1"/>
        <i x="95" nd="1"/>
        <i x="39" nd="1"/>
        <i x="84" nd="1"/>
        <i x="14" nd="1"/>
        <i x="73" nd="1"/>
        <i x="94" nd="1"/>
        <i x="97" nd="1"/>
        <i x="83" nd="1"/>
        <i x="32" nd="1"/>
        <i x="66" nd="1"/>
        <i x="72" nd="1"/>
        <i x="27" nd="1"/>
        <i x="86" nd="1"/>
        <i x="28" nd="1"/>
        <i x="29" nd="1"/>
        <i x="81" nd="1"/>
        <i x="48" nd="1"/>
        <i x="37" nd="1"/>
        <i x="76" nd="1"/>
        <i x="38" nd="1"/>
        <i x="62" nd="1"/>
        <i x="87" nd="1"/>
        <i x="12" nd="1"/>
        <i x="15" nd="1"/>
        <i x="57" nd="1"/>
        <i x="53" nd="1"/>
        <i x="56" nd="1"/>
        <i x="88" nd="1"/>
        <i x="43" nd="1"/>
        <i x="61" nd="1"/>
        <i x="18" nd="1"/>
        <i x="7" nd="1"/>
        <i x="82" nd="1"/>
        <i x="68" nd="1"/>
        <i x="13" nd="1"/>
        <i x="75" nd="1"/>
        <i x="33" nd="1"/>
        <i x="90" nd="1"/>
        <i x="80" nd="1"/>
        <i x="3" nd="1"/>
        <i x="5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lanta" xr10:uid="{57CD59F3-3AAF-4A82-8480-E56C8378460B}" sourceName="planta">
  <pivotTables>
    <pivotTable tabId="2" name="TablaDinámica1"/>
    <pivotTable tabId="2" name="TablaDinámica3"/>
  </pivotTables>
  <data>
    <tabular pivotCacheId="1812213116">
      <items count="3"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_registro" xr10:uid="{D81AA855-FF68-4FD6-A4BF-B6D980664891}" cache="SegmentaciónDeDatos_fecha_registro" caption="fecha_registro" rowHeight="241300"/>
  <slicer name="planta" xr10:uid="{07BC435F-4D3B-40C6-AFAC-FD4EE35DCE3E}" cache="SegmentaciónDeDatos_planta" caption="planta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42E9-4E45-41F6-854C-CDD07A706A8C}">
  <dimension ref="A1:O8"/>
  <sheetViews>
    <sheetView tabSelected="1" topLeftCell="B1" zoomScale="70" workbookViewId="0">
      <selection activeCell="M2" sqref="M2"/>
    </sheetView>
  </sheetViews>
  <sheetFormatPr baseColWidth="10" defaultRowHeight="15" x14ac:dyDescent="0.25"/>
  <cols>
    <col min="1" max="1" width="17.5703125" bestFit="1" customWidth="1"/>
    <col min="2" max="2" width="32.85546875" bestFit="1" customWidth="1"/>
    <col min="3" max="3" width="33.85546875" bestFit="1" customWidth="1"/>
    <col min="13" max="13" width="17.5703125" bestFit="1" customWidth="1"/>
    <col min="14" max="14" width="28.85546875" bestFit="1" customWidth="1"/>
    <col min="15" max="15" width="28.5703125" bestFit="1" customWidth="1"/>
  </cols>
  <sheetData>
    <row r="1" spans="1:15" x14ac:dyDescent="0.25">
      <c r="A1" s="2" t="s">
        <v>111</v>
      </c>
      <c r="B1" t="s">
        <v>113</v>
      </c>
      <c r="C1" t="s">
        <v>114</v>
      </c>
    </row>
    <row r="2" spans="1:15" x14ac:dyDescent="0.25">
      <c r="A2" s="3" t="s">
        <v>50</v>
      </c>
      <c r="B2" s="4">
        <v>4340</v>
      </c>
      <c r="C2" s="4">
        <v>793.6</v>
      </c>
      <c r="M2" s="2" t="s">
        <v>111</v>
      </c>
      <c r="N2" t="s">
        <v>116</v>
      </c>
      <c r="O2" t="s">
        <v>115</v>
      </c>
    </row>
    <row r="3" spans="1:15" x14ac:dyDescent="0.25">
      <c r="A3" s="3" t="s">
        <v>35</v>
      </c>
      <c r="B3" s="4">
        <v>3961</v>
      </c>
      <c r="C3" s="4">
        <v>1264</v>
      </c>
      <c r="M3" s="3" t="s">
        <v>108</v>
      </c>
      <c r="N3" s="4">
        <v>33.824999999999996</v>
      </c>
      <c r="O3" s="4">
        <v>2</v>
      </c>
    </row>
    <row r="4" spans="1:15" x14ac:dyDescent="0.25">
      <c r="A4" s="3" t="s">
        <v>30</v>
      </c>
      <c r="B4" s="4">
        <v>4219</v>
      </c>
      <c r="C4" s="4">
        <v>1166.9000000000001</v>
      </c>
      <c r="M4" s="3" t="s">
        <v>112</v>
      </c>
      <c r="N4" s="4">
        <v>33.824999999999996</v>
      </c>
      <c r="O4" s="4">
        <v>2</v>
      </c>
    </row>
    <row r="5" spans="1:15" x14ac:dyDescent="0.25">
      <c r="A5" s="3" t="s">
        <v>26</v>
      </c>
      <c r="B5" s="4">
        <v>3824.5</v>
      </c>
      <c r="C5" s="4">
        <v>950.75</v>
      </c>
    </row>
    <row r="6" spans="1:15" x14ac:dyDescent="0.25">
      <c r="A6" s="3" t="s">
        <v>77</v>
      </c>
      <c r="B6" s="4">
        <v>5747</v>
      </c>
      <c r="C6" s="4">
        <v>1757.2</v>
      </c>
    </row>
    <row r="7" spans="1:15" x14ac:dyDescent="0.25">
      <c r="A7" s="3" t="s">
        <v>20</v>
      </c>
      <c r="B7" s="4">
        <v>3627</v>
      </c>
      <c r="C7" s="4">
        <v>692.9</v>
      </c>
    </row>
    <row r="8" spans="1:15" x14ac:dyDescent="0.25">
      <c r="A8" s="3" t="s">
        <v>112</v>
      </c>
      <c r="B8" s="4">
        <v>4220.25</v>
      </c>
      <c r="C8" s="4">
        <v>1092.875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workbookViewId="0">
      <selection activeCell="A2" sqref="A1:J20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 x14ac:dyDescent="0.25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 x14ac:dyDescent="0.25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 x14ac:dyDescent="0.25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 x14ac:dyDescent="0.25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 x14ac:dyDescent="0.25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x14ac:dyDescent="0.25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 x14ac:dyDescent="0.25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 x14ac:dyDescent="0.25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 x14ac:dyDescent="0.25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 x14ac:dyDescent="0.25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 x14ac:dyDescent="0.25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 x14ac:dyDescent="0.25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 x14ac:dyDescent="0.25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 x14ac:dyDescent="0.25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 x14ac:dyDescent="0.25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 x14ac:dyDescent="0.25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 x14ac:dyDescent="0.25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 x14ac:dyDescent="0.25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 x14ac:dyDescent="0.25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 x14ac:dyDescent="0.25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 x14ac:dyDescent="0.25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 x14ac:dyDescent="0.25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 x14ac:dyDescent="0.25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 x14ac:dyDescent="0.25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 x14ac:dyDescent="0.25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 x14ac:dyDescent="0.25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 x14ac:dyDescent="0.25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 x14ac:dyDescent="0.25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 x14ac:dyDescent="0.25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 x14ac:dyDescent="0.25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 x14ac:dyDescent="0.25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 x14ac:dyDescent="0.25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 x14ac:dyDescent="0.25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 x14ac:dyDescent="0.25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 x14ac:dyDescent="0.25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 x14ac:dyDescent="0.25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 x14ac:dyDescent="0.25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 x14ac:dyDescent="0.25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 x14ac:dyDescent="0.25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 x14ac:dyDescent="0.25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 x14ac:dyDescent="0.25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 x14ac:dyDescent="0.25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 x14ac:dyDescent="0.25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 x14ac:dyDescent="0.25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 x14ac:dyDescent="0.25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 x14ac:dyDescent="0.25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 x14ac:dyDescent="0.25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 x14ac:dyDescent="0.25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 x14ac:dyDescent="0.25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 x14ac:dyDescent="0.25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 x14ac:dyDescent="0.25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 x14ac:dyDescent="0.25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 x14ac:dyDescent="0.25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 x14ac:dyDescent="0.25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 x14ac:dyDescent="0.25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 x14ac:dyDescent="0.25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 x14ac:dyDescent="0.25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 x14ac:dyDescent="0.25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 x14ac:dyDescent="0.25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 x14ac:dyDescent="0.25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 x14ac:dyDescent="0.25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 x14ac:dyDescent="0.25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 x14ac:dyDescent="0.25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 x14ac:dyDescent="0.25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 x14ac:dyDescent="0.25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 x14ac:dyDescent="0.25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 x14ac:dyDescent="0.25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 x14ac:dyDescent="0.25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 x14ac:dyDescent="0.25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 x14ac:dyDescent="0.25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 x14ac:dyDescent="0.25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 x14ac:dyDescent="0.25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 x14ac:dyDescent="0.25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 x14ac:dyDescent="0.25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 x14ac:dyDescent="0.25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 x14ac:dyDescent="0.25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 x14ac:dyDescent="0.25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 x14ac:dyDescent="0.25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 x14ac:dyDescent="0.25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 x14ac:dyDescent="0.25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 x14ac:dyDescent="0.25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 x14ac:dyDescent="0.25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 x14ac:dyDescent="0.25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 x14ac:dyDescent="0.25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 x14ac:dyDescent="0.25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 x14ac:dyDescent="0.25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 x14ac:dyDescent="0.25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 x14ac:dyDescent="0.25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 x14ac:dyDescent="0.25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 x14ac:dyDescent="0.25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 x14ac:dyDescent="0.25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 x14ac:dyDescent="0.25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 x14ac:dyDescent="0.25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 x14ac:dyDescent="0.25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 x14ac:dyDescent="0.25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 x14ac:dyDescent="0.25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 x14ac:dyDescent="0.25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 x14ac:dyDescent="0.25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 x14ac:dyDescent="0.25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 x14ac:dyDescent="0.25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 x14ac:dyDescent="0.25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 x14ac:dyDescent="0.25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 x14ac:dyDescent="0.25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 x14ac:dyDescent="0.25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 x14ac:dyDescent="0.25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 x14ac:dyDescent="0.25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 x14ac:dyDescent="0.25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 x14ac:dyDescent="0.25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 x14ac:dyDescent="0.25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 x14ac:dyDescent="0.25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 x14ac:dyDescent="0.25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 x14ac:dyDescent="0.25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 x14ac:dyDescent="0.25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 x14ac:dyDescent="0.25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 x14ac:dyDescent="0.25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 x14ac:dyDescent="0.25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 x14ac:dyDescent="0.25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25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 x14ac:dyDescent="0.25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 x14ac:dyDescent="0.25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 x14ac:dyDescent="0.25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 x14ac:dyDescent="0.25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 x14ac:dyDescent="0.25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 x14ac:dyDescent="0.25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 x14ac:dyDescent="0.25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 x14ac:dyDescent="0.25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 x14ac:dyDescent="0.25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 x14ac:dyDescent="0.25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 x14ac:dyDescent="0.25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 x14ac:dyDescent="0.25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 x14ac:dyDescent="0.25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 x14ac:dyDescent="0.25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 x14ac:dyDescent="0.25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 x14ac:dyDescent="0.25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 x14ac:dyDescent="0.25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 x14ac:dyDescent="0.25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 x14ac:dyDescent="0.25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 x14ac:dyDescent="0.25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 x14ac:dyDescent="0.25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 x14ac:dyDescent="0.25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 x14ac:dyDescent="0.25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 x14ac:dyDescent="0.25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 x14ac:dyDescent="0.25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 x14ac:dyDescent="0.25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 x14ac:dyDescent="0.25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 x14ac:dyDescent="0.25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 x14ac:dyDescent="0.25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 x14ac:dyDescent="0.25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 x14ac:dyDescent="0.25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 x14ac:dyDescent="0.25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 x14ac:dyDescent="0.25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 x14ac:dyDescent="0.25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 x14ac:dyDescent="0.25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 x14ac:dyDescent="0.25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 x14ac:dyDescent="0.25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 x14ac:dyDescent="0.25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 x14ac:dyDescent="0.25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 x14ac:dyDescent="0.25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 x14ac:dyDescent="0.25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 x14ac:dyDescent="0.25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 x14ac:dyDescent="0.25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 x14ac:dyDescent="0.25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 x14ac:dyDescent="0.25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 x14ac:dyDescent="0.25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 x14ac:dyDescent="0.25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 x14ac:dyDescent="0.25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 x14ac:dyDescent="0.25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 x14ac:dyDescent="0.25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 x14ac:dyDescent="0.25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 x14ac:dyDescent="0.25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 x14ac:dyDescent="0.25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 x14ac:dyDescent="0.25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 x14ac:dyDescent="0.25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 x14ac:dyDescent="0.25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 x14ac:dyDescent="0.25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 x14ac:dyDescent="0.25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 x14ac:dyDescent="0.25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 x14ac:dyDescent="0.25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 x14ac:dyDescent="0.25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 x14ac:dyDescent="0.25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 x14ac:dyDescent="0.25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 x14ac:dyDescent="0.25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 x14ac:dyDescent="0.25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 x14ac:dyDescent="0.25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 x14ac:dyDescent="0.25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 x14ac:dyDescent="0.25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 x14ac:dyDescent="0.25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 x14ac:dyDescent="0.25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 x14ac:dyDescent="0.25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 x14ac:dyDescent="0.25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 x14ac:dyDescent="0.25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 x14ac:dyDescent="0.25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 x14ac:dyDescent="0.25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 x14ac:dyDescent="0.25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 x14ac:dyDescent="0.25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 x14ac:dyDescent="0.25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 x14ac:dyDescent="0.25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 x14ac:dyDescent="0.25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 x14ac:dyDescent="0.25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CA1DC-9404-4822-B5E5-E9765BCBCED0}">
  <ds:schemaRefs>
    <ds:schemaRef ds:uri="http://schemas.microsoft.com/office/2006/metadata/properties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Vicente Pizarro Maluenda</cp:lastModifiedBy>
  <dcterms:created xsi:type="dcterms:W3CDTF">2026-01-01T20:51:31Z</dcterms:created>
  <dcterms:modified xsi:type="dcterms:W3CDTF">2026-05-26T05:11:31Z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